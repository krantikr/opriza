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 stock list NEW" sheetId="1" r:id="rId4"/>
    <sheet state="hidden" name="Grade wise" sheetId="2" r:id="rId5"/>
  </sheets>
  <definedNames>
    <definedName hidden="1" localSheetId="0" name="_xlnm._FilterDatabase">'Actual stock list NEW'!$A$2:$Z$214</definedName>
  </definedNames>
  <calcPr/>
  <extLst>
    <ext uri="GoogleSheetsCustomDataVersion2">
      <go:sheetsCustomData xmlns:go="http://customooxmlschemas.google.com/" r:id="rId6" roundtripDataChecksum="QT3LQG6y/0puabrIUiXa9rcMWZ6UVNwB1vzWX1ziEd0="/>
    </ext>
  </extLst>
</workbook>
</file>

<file path=xl/sharedStrings.xml><?xml version="1.0" encoding="utf-8"?>
<sst xmlns="http://schemas.openxmlformats.org/spreadsheetml/2006/main" count="1415" uniqueCount="169">
  <si>
    <t>UPDATE DT.</t>
  </si>
  <si>
    <t>MONTH</t>
  </si>
  <si>
    <t>GRADE</t>
  </si>
  <si>
    <t>TH X WID X LENGTH</t>
  </si>
  <si>
    <t>NOP</t>
  </si>
  <si>
    <t>WEIGHT</t>
  </si>
  <si>
    <t>RATE</t>
  </si>
  <si>
    <t>Date</t>
  </si>
  <si>
    <t>LOT-1/OLD</t>
  </si>
  <si>
    <t>Product</t>
  </si>
  <si>
    <t>Location</t>
  </si>
  <si>
    <t>SUPPLIER</t>
  </si>
  <si>
    <t>Cutter</t>
  </si>
  <si>
    <t>S690QL</t>
  </si>
  <si>
    <t>MAKE</t>
  </si>
  <si>
    <t>7.3MMX2500X12000</t>
  </si>
  <si>
    <t>COIL NO</t>
  </si>
  <si>
    <t>AGEING</t>
  </si>
  <si>
    <t>Purchase RATE</t>
  </si>
  <si>
    <t>Landed Cost As on Today</t>
  </si>
  <si>
    <t>THK</t>
  </si>
  <si>
    <t>WDTH</t>
  </si>
  <si>
    <t>LNTH</t>
  </si>
  <si>
    <t>QTY</t>
  </si>
  <si>
    <t>Vijay Order 
Qty</t>
  </si>
  <si>
    <t>Vijendra Order 
Qty</t>
  </si>
  <si>
    <t>Balance 
NOP</t>
  </si>
  <si>
    <t>Balance 
Qty</t>
  </si>
  <si>
    <t>10MMX2500X6000</t>
  </si>
  <si>
    <t>CURR.DT</t>
  </si>
  <si>
    <t>VALUE</t>
  </si>
  <si>
    <t>INT 15%</t>
  </si>
  <si>
    <t>Plate</t>
  </si>
  <si>
    <t>16MMX2000X3000</t>
  </si>
  <si>
    <t>UVS</t>
  </si>
  <si>
    <t>-</t>
  </si>
  <si>
    <t>JFE/EH-C400</t>
  </si>
  <si>
    <t>40MMX2000X6000</t>
  </si>
  <si>
    <t>TUBE</t>
  </si>
  <si>
    <t>NALWA</t>
  </si>
  <si>
    <t>JSPL</t>
  </si>
  <si>
    <t>LOT-2/NEW</t>
  </si>
  <si>
    <t xml:space="preserve">300  - 6 MTR  </t>
  </si>
  <si>
    <t>10MMX2500X12000</t>
  </si>
  <si>
    <t>TURA</t>
  </si>
  <si>
    <t>POSCO</t>
  </si>
  <si>
    <t>E350C</t>
  </si>
  <si>
    <t>15MMX2500X6000</t>
  </si>
  <si>
    <t>18MMX2500X6000</t>
  </si>
  <si>
    <t>AMNS</t>
  </si>
  <si>
    <t>20MMX2000X6000</t>
  </si>
  <si>
    <t>SA 516 GR 70</t>
  </si>
  <si>
    <t>20MMX2500X6000</t>
  </si>
  <si>
    <t>12MMX2500X6000</t>
  </si>
  <si>
    <t>12MMX2000X6000</t>
  </si>
  <si>
    <t>SH</t>
  </si>
  <si>
    <t>RS-500</t>
  </si>
  <si>
    <t>25MMX2500X6000</t>
  </si>
  <si>
    <t>30MMX2000X6000</t>
  </si>
  <si>
    <t>MITTAL</t>
  </si>
  <si>
    <t>JSW</t>
  </si>
  <si>
    <t>S550MC</t>
  </si>
  <si>
    <t>32MMX2000X6000</t>
  </si>
  <si>
    <t>38MMX2500X6000</t>
  </si>
  <si>
    <t>40MMX2500X6000</t>
  </si>
  <si>
    <t>50MMX2000X6000</t>
  </si>
  <si>
    <t>70MMX2500X6000</t>
  </si>
  <si>
    <t>16MMX2000X6000</t>
  </si>
  <si>
    <t>10MMX2000X6000</t>
  </si>
  <si>
    <t>JINDAL</t>
  </si>
  <si>
    <t>25MMX2000X6000</t>
  </si>
  <si>
    <t>S460N</t>
  </si>
  <si>
    <t>E250</t>
  </si>
  <si>
    <t>BEAM</t>
  </si>
  <si>
    <t>K VIJAY</t>
  </si>
  <si>
    <t>JSR-BABU</t>
  </si>
  <si>
    <t>UVS-MH</t>
  </si>
  <si>
    <t>LOT-3/OLD</t>
  </si>
  <si>
    <t>ROCKSTAR 400</t>
  </si>
  <si>
    <t>28MMX2000X6000</t>
  </si>
  <si>
    <t>32MMX2000X6300</t>
  </si>
  <si>
    <t>LOT-4/NEW</t>
  </si>
  <si>
    <t>TK</t>
  </si>
  <si>
    <t>15MMX2000X6000</t>
  </si>
  <si>
    <t>STANDRED</t>
  </si>
  <si>
    <t>RS-400</t>
  </si>
  <si>
    <t xml:space="preserve"> -</t>
  </si>
  <si>
    <t>16MMX2000X6300</t>
  </si>
  <si>
    <t>SM</t>
  </si>
  <si>
    <t>C</t>
  </si>
  <si>
    <t>FORTUNE</t>
  </si>
  <si>
    <t>ASTM A537 CLASS-11</t>
  </si>
  <si>
    <t>UVS -MH</t>
  </si>
  <si>
    <t>NARESH</t>
  </si>
  <si>
    <t>E350</t>
  </si>
  <si>
    <t>RK-400</t>
  </si>
  <si>
    <t>45MMX2000X6000</t>
  </si>
  <si>
    <t>KA</t>
  </si>
  <si>
    <t>36MMX2000X6000</t>
  </si>
  <si>
    <t>ROURKELA</t>
  </si>
  <si>
    <t>8MMX2500X6000</t>
  </si>
  <si>
    <t xml:space="preserve"> </t>
  </si>
  <si>
    <t>LOT-5/OLD</t>
  </si>
  <si>
    <t>ROCKSTAR 500</t>
  </si>
  <si>
    <t>LOT-6/NEW</t>
  </si>
  <si>
    <t>VIVEK</t>
  </si>
  <si>
    <t>12MMX2000X12000</t>
  </si>
  <si>
    <t>TALOJA</t>
  </si>
  <si>
    <t>IVPL</t>
  </si>
  <si>
    <t>PARAM</t>
  </si>
  <si>
    <t>TATA</t>
  </si>
  <si>
    <t>S600MC</t>
  </si>
  <si>
    <t>JSR</t>
  </si>
  <si>
    <t>IRONOMATIC</t>
  </si>
  <si>
    <t>S700MC</t>
  </si>
  <si>
    <t>UVS MH</t>
  </si>
  <si>
    <t>RAIGARH</t>
  </si>
  <si>
    <t>TUBE - YST310</t>
  </si>
  <si>
    <t>LOT-8/OLD</t>
  </si>
  <si>
    <t>QUARD 400</t>
  </si>
  <si>
    <t>SAAN</t>
  </si>
  <si>
    <t>34+1</t>
  </si>
  <si>
    <t>KG</t>
  </si>
  <si>
    <t>JSPL-RG</t>
  </si>
  <si>
    <t>E250BR</t>
  </si>
  <si>
    <t>ARTON</t>
  </si>
  <si>
    <t>11+1</t>
  </si>
  <si>
    <t>SEVEN</t>
  </si>
  <si>
    <t>NM</t>
  </si>
  <si>
    <t>E450BR</t>
  </si>
  <si>
    <t>RK-500</t>
  </si>
  <si>
    <t>CSPL</t>
  </si>
  <si>
    <t>ANM</t>
  </si>
  <si>
    <t>NM-450</t>
  </si>
  <si>
    <t>SHREE RAM</t>
  </si>
  <si>
    <t>BALLU</t>
  </si>
  <si>
    <t>SAIL</t>
  </si>
  <si>
    <t>E350BR</t>
  </si>
  <si>
    <t>Coil</t>
  </si>
  <si>
    <t>GEETA</t>
  </si>
  <si>
    <t>RS-450</t>
  </si>
  <si>
    <t>J2W+N</t>
  </si>
  <si>
    <t>NAGPUR</t>
  </si>
  <si>
    <t>E410C</t>
  </si>
  <si>
    <t>JSPL-AG</t>
  </si>
  <si>
    <t>RG</t>
  </si>
  <si>
    <t>EMH-RETURN</t>
  </si>
  <si>
    <t>SHRI VIDHI</t>
  </si>
  <si>
    <t>RR-AQUA</t>
  </si>
  <si>
    <t>STEELCO</t>
  </si>
  <si>
    <t>TIRUPATI</t>
  </si>
  <si>
    <t>INTE</t>
  </si>
  <si>
    <t>NAMCO</t>
  </si>
  <si>
    <t>SURI</t>
  </si>
  <si>
    <t>E410BR</t>
  </si>
  <si>
    <t>GUJ</t>
  </si>
  <si>
    <t>REJECTION</t>
  </si>
  <si>
    <t>POOJA</t>
  </si>
  <si>
    <t>TURA-AQUA</t>
  </si>
  <si>
    <t>DTC</t>
  </si>
  <si>
    <t>C-45</t>
  </si>
  <si>
    <t>AQUA</t>
  </si>
  <si>
    <t>VK</t>
  </si>
  <si>
    <t>DARUKHANA</t>
  </si>
  <si>
    <t>HEENA</t>
  </si>
  <si>
    <t>SHRI SIDD</t>
  </si>
  <si>
    <t>NM-500</t>
  </si>
  <si>
    <t>CHAMPAK</t>
  </si>
  <si>
    <t>TRADEPASS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</si>
</sst>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-d"/>
    <numFmt numFmtId="165" formatCode="0.0"/>
  </numFmts>
  <fonts count="16">
    <font>
      <sz val="11.0"/>
      <color theme="1"/>
      <name val="Calibri"/>
      <scheme val="minor"/>
    </font>
    <font>
      <sz val="11.0"/>
      <color theme="1"/>
      <name val="Trebuchet MS"/>
    </font>
    <font>
      <b/>
      <sz val="11.0"/>
      <color rgb="FFFFFFFF"/>
      <name val="Calibri"/>
    </font>
    <font>
      <b/>
      <sz val="11.0"/>
      <color theme="1"/>
      <name val="Trebuchet MS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/>
    <font>
      <b/>
      <sz val="9.0"/>
      <color theme="1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sz val="9.0"/>
      <color theme="1"/>
      <name val="Calibri"/>
    </font>
    <font>
      <sz val="9.0"/>
      <color rgb="FF000000"/>
      <name val="Calibri"/>
    </font>
    <font>
      <sz val="11.0"/>
      <color rgb="FF000000"/>
      <name val="Trebuchet MS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741B47"/>
        <bgColor rgb="FF741B47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2" fillId="2" fontId="2" numFmtId="16" xfId="0" applyAlignment="1" applyBorder="1" applyFont="1" applyNumberFormat="1">
      <alignment horizontal="left" readingOrder="0" vertical="center"/>
    </xf>
    <xf borderId="2" fillId="0" fontId="1" numFmtId="0" xfId="0" applyBorder="1" applyFont="1"/>
    <xf borderId="3" fillId="3" fontId="4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vertical="center"/>
    </xf>
    <xf borderId="0" fillId="3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2" fillId="4" fontId="2" numFmtId="0" xfId="0" applyAlignment="1" applyBorder="1" applyFill="1" applyFont="1">
      <alignment horizontal="left" vertical="center"/>
    </xf>
    <xf borderId="2" fillId="4" fontId="4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left" readingOrder="0" vertical="center"/>
    </xf>
    <xf borderId="2" fillId="0" fontId="1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/>
    </xf>
    <xf borderId="2" fillId="6" fontId="6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shrinkToFit="0" vertical="center" wrapText="1"/>
    </xf>
    <xf borderId="2" fillId="8" fontId="2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ont="1">
      <alignment horizontal="left" shrinkToFit="0" vertical="center" wrapText="1"/>
    </xf>
    <xf borderId="5" fillId="0" fontId="8" numFmtId="0" xfId="0" applyBorder="1" applyFont="1"/>
    <xf borderId="2" fillId="4" fontId="2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2" fillId="0" fontId="9" numFmtId="16" xfId="0" applyAlignment="1" applyBorder="1" applyFont="1" applyNumberFormat="1">
      <alignment horizontal="left" vertical="center"/>
    </xf>
    <xf borderId="2" fillId="0" fontId="9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9" fontId="10" numFmtId="0" xfId="0" applyAlignment="1" applyBorder="1" applyFill="1" applyFont="1">
      <alignment horizontal="left"/>
    </xf>
    <xf borderId="6" fillId="0" fontId="8" numFmtId="0" xfId="0" applyBorder="1" applyFont="1"/>
    <xf borderId="2" fillId="7" fontId="9" numFmtId="0" xfId="0" applyAlignment="1" applyBorder="1" applyFont="1">
      <alignment horizontal="left" vertical="center"/>
    </xf>
    <xf borderId="2" fillId="8" fontId="11" numFmtId="2" xfId="0" applyAlignment="1" applyBorder="1" applyFont="1" applyNumberFormat="1">
      <alignment horizontal="left" vertical="center"/>
    </xf>
    <xf borderId="2" fillId="0" fontId="9" numFmtId="0" xfId="0" applyAlignment="1" applyBorder="1" applyFont="1">
      <alignment horizontal="left" readingOrder="0" vertical="center"/>
    </xf>
    <xf borderId="2" fillId="10" fontId="9" numFmtId="3" xfId="0" applyAlignment="1" applyBorder="1" applyFill="1" applyFont="1" applyNumberFormat="1">
      <alignment horizontal="left" readingOrder="0" vertical="center"/>
    </xf>
    <xf borderId="2" fillId="3" fontId="1" numFmtId="0" xfId="0" applyAlignment="1" applyBorder="1" applyFont="1">
      <alignment horizontal="center"/>
    </xf>
    <xf borderId="2" fillId="0" fontId="10" numFmtId="3" xfId="0" applyAlignment="1" applyBorder="1" applyFont="1" applyNumberFormat="1">
      <alignment horizontal="left" vertical="center"/>
    </xf>
    <xf borderId="2" fillId="0" fontId="9" numFmtId="16" xfId="0" applyAlignment="1" applyBorder="1" applyFont="1" applyNumberFormat="1">
      <alignment horizontal="left" readingOrder="0" vertical="center"/>
    </xf>
    <xf borderId="2" fillId="0" fontId="9" numFmtId="2" xfId="0" applyAlignment="1" applyBorder="1" applyFont="1" applyNumberFormat="1">
      <alignment horizontal="left"/>
    </xf>
    <xf borderId="7" fillId="3" fontId="1" numFmtId="0" xfId="0" applyBorder="1" applyFont="1"/>
    <xf borderId="2" fillId="0" fontId="9" numFmtId="2" xfId="0" applyAlignment="1" applyBorder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borderId="2" fillId="0" fontId="9" numFmtId="16" xfId="0" applyAlignment="1" applyBorder="1" applyFont="1" applyNumberFormat="1">
      <alignment horizontal="left" readingOrder="0" shrinkToFit="0" vertical="center" wrapText="1"/>
    </xf>
    <xf borderId="2" fillId="0" fontId="9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left" readingOrder="0" vertical="center"/>
    </xf>
    <xf borderId="2" fillId="3" fontId="3" numFmtId="0" xfId="0" applyAlignment="1" applyBorder="1" applyFont="1">
      <alignment horizontal="center"/>
    </xf>
    <xf borderId="2" fillId="7" fontId="9" numFmtId="165" xfId="0" applyAlignment="1" applyBorder="1" applyFont="1" applyNumberFormat="1">
      <alignment horizontal="left" readingOrder="0" vertical="center"/>
    </xf>
    <xf borderId="2" fillId="0" fontId="9" numFmtId="0" xfId="0" applyAlignment="1" applyBorder="1" applyFont="1">
      <alignment horizontal="left"/>
    </xf>
    <xf borderId="2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readingOrder="0" shrinkToFit="0" vertical="center" wrapText="1"/>
    </xf>
    <xf borderId="2" fillId="7" fontId="9" numFmtId="0" xfId="0" applyAlignment="1" applyBorder="1" applyFont="1">
      <alignment horizontal="left" readingOrder="0" vertical="center"/>
    </xf>
    <xf borderId="2" fillId="10" fontId="9" numFmtId="3" xfId="0" applyAlignment="1" applyBorder="1" applyFont="1" applyNumberFormat="1">
      <alignment horizontal="left" readingOrder="0" shrinkToFit="0" vertical="center" wrapText="1"/>
    </xf>
    <xf borderId="0" fillId="5" fontId="13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2" fillId="0" fontId="9" numFmtId="16" xfId="0" applyAlignment="1" applyBorder="1" applyFont="1" applyNumberFormat="1">
      <alignment horizontal="left" shrinkToFit="0" vertical="center" wrapText="1"/>
    </xf>
    <xf borderId="2" fillId="5" fontId="9" numFmtId="3" xfId="0" applyAlignment="1" applyBorder="1" applyFont="1" applyNumberFormat="1">
      <alignment horizontal="left" readingOrder="0" shrinkToFit="0" vertical="center" wrapText="1"/>
    </xf>
    <xf borderId="2" fillId="5" fontId="1" numFmtId="164" xfId="0" applyAlignment="1" applyBorder="1" applyFont="1" applyNumberFormat="1">
      <alignment horizontal="center"/>
    </xf>
    <xf borderId="7" fillId="5" fontId="3" numFmtId="0" xfId="0" applyBorder="1" applyFont="1"/>
    <xf borderId="2" fillId="5" fontId="9" numFmtId="3" xfId="0" applyAlignment="1" applyBorder="1" applyFont="1" applyNumberFormat="1">
      <alignment horizontal="left" readingOrder="0" vertical="center"/>
    </xf>
    <xf borderId="0" fillId="5" fontId="12" numFmtId="0" xfId="0" applyAlignment="1" applyFont="1">
      <alignment horizontal="left"/>
    </xf>
    <xf borderId="0" fillId="0" fontId="12" numFmtId="0" xfId="0" applyAlignment="1" applyFont="1">
      <alignment horizontal="left"/>
    </xf>
    <xf borderId="2" fillId="5" fontId="9" numFmtId="3" xfId="0" applyAlignment="1" applyBorder="1" applyFont="1" applyNumberFormat="1">
      <alignment horizontal="left" shrinkToFit="0" vertical="center" wrapText="1"/>
    </xf>
    <xf borderId="2" fillId="5" fontId="14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left" readingOrder="0" shrinkToFit="0" wrapText="1"/>
    </xf>
    <xf borderId="8" fillId="10" fontId="10" numFmtId="3" xfId="0" applyAlignment="1" applyBorder="1" applyFont="1" applyNumberFormat="1">
      <alignment horizontal="left" readingOrder="0" shrinkToFit="0" wrapText="1"/>
    </xf>
    <xf borderId="8" fillId="5" fontId="10" numFmtId="3" xfId="0" applyAlignment="1" applyBorder="1" applyFont="1" applyNumberFormat="1">
      <alignment horizontal="left" readingOrder="0" shrinkToFit="0" wrapText="1"/>
    </xf>
    <xf borderId="0" fillId="0" fontId="15" numFmtId="0" xfId="0" applyAlignment="1" applyFont="1">
      <alignment horizontal="left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11.29"/>
    <col customWidth="1" min="3" max="3" width="12.71"/>
    <col customWidth="1" min="4" max="4" width="13.43"/>
    <col customWidth="1" min="5" max="5" width="14.14"/>
    <col customWidth="1" min="6" max="6" width="8.57"/>
    <col customWidth="1" min="7" max="8" width="12.71"/>
    <col customWidth="1" min="9" max="9" width="11.71"/>
    <col customWidth="1" min="10" max="10" width="13.43"/>
    <col customWidth="1" min="11" max="11" width="11.57"/>
    <col customWidth="1" min="12" max="12" width="6.86"/>
    <col customWidth="1" min="13" max="13" width="8.57"/>
    <col customWidth="1" min="14" max="14" width="10.0"/>
    <col customWidth="1" min="15" max="15" width="7.43"/>
    <col customWidth="1" min="16" max="16" width="10.86"/>
    <col customWidth="1" min="17" max="17" width="8.14"/>
    <col customWidth="1" min="18" max="18" width="9.14"/>
    <col customWidth="1" min="19" max="19" width="8.0"/>
    <col customWidth="1" min="20" max="20" width="9.57"/>
    <col customWidth="1" min="21" max="21" width="10.29"/>
    <col customWidth="1" min="22" max="22" width="9.71"/>
    <col customWidth="1" min="23" max="23" width="9.57"/>
    <col customWidth="1" min="24" max="24" width="11.14"/>
  </cols>
  <sheetData>
    <row r="1" ht="21.0" customHeight="1">
      <c r="A1" s="2" t="s">
        <v>0</v>
      </c>
      <c r="B1" s="4">
        <f>Today()</f>
        <v>46248</v>
      </c>
      <c r="C1" s="6"/>
      <c r="D1" s="8"/>
      <c r="E1" s="9"/>
      <c r="F1" s="9"/>
      <c r="G1" s="9"/>
      <c r="H1" s="9"/>
      <c r="I1" s="9"/>
      <c r="J1" s="10"/>
      <c r="K1" s="10"/>
      <c r="L1" s="9"/>
      <c r="M1" s="9"/>
      <c r="N1" s="9"/>
      <c r="O1" s="9"/>
      <c r="P1" s="9"/>
      <c r="Q1" s="10"/>
      <c r="R1" s="10"/>
      <c r="S1" s="10"/>
      <c r="T1" s="10"/>
      <c r="U1" s="9"/>
      <c r="V1" s="9"/>
      <c r="W1" s="9"/>
      <c r="X1" s="11"/>
      <c r="Y1" s="12"/>
      <c r="Z1" s="12"/>
    </row>
    <row r="2">
      <c r="A2" s="13" t="s">
        <v>7</v>
      </c>
      <c r="B2" s="14" t="s">
        <v>9</v>
      </c>
      <c r="C2" s="16" t="s">
        <v>10</v>
      </c>
      <c r="D2" s="14" t="s">
        <v>11</v>
      </c>
      <c r="E2" s="14" t="s">
        <v>12</v>
      </c>
      <c r="F2" s="14" t="s">
        <v>14</v>
      </c>
      <c r="G2" s="13" t="s">
        <v>2</v>
      </c>
      <c r="H2" s="14" t="s">
        <v>16</v>
      </c>
      <c r="I2" s="20" t="s">
        <v>17</v>
      </c>
      <c r="J2" s="21" t="s">
        <v>18</v>
      </c>
      <c r="K2" s="22" t="s">
        <v>19</v>
      </c>
      <c r="L2" s="16" t="s">
        <v>20</v>
      </c>
      <c r="M2" s="16" t="s">
        <v>21</v>
      </c>
      <c r="N2" s="14" t="s">
        <v>22</v>
      </c>
      <c r="O2" s="13" t="s">
        <v>4</v>
      </c>
      <c r="P2" s="13" t="s">
        <v>23</v>
      </c>
      <c r="Q2" s="23" t="s">
        <v>24</v>
      </c>
      <c r="R2" s="25" t="s">
        <v>25</v>
      </c>
      <c r="S2" s="23" t="s">
        <v>26</v>
      </c>
      <c r="T2" s="23" t="s">
        <v>27</v>
      </c>
      <c r="U2" s="14" t="s">
        <v>29</v>
      </c>
      <c r="V2" s="13" t="s">
        <v>30</v>
      </c>
      <c r="W2" s="16" t="s">
        <v>31</v>
      </c>
      <c r="X2" s="26"/>
      <c r="Y2" s="27"/>
      <c r="Z2" s="27"/>
    </row>
    <row r="3" ht="15.75" customHeight="1">
      <c r="A3" s="28">
        <v>45727.0</v>
      </c>
      <c r="B3" s="29" t="s">
        <v>32</v>
      </c>
      <c r="C3" s="29">
        <v>788.0</v>
      </c>
      <c r="D3" s="29" t="s">
        <v>34</v>
      </c>
      <c r="E3" s="30">
        <v>788.0</v>
      </c>
      <c r="F3" s="29" t="s">
        <v>35</v>
      </c>
      <c r="G3" s="29" t="s">
        <v>36</v>
      </c>
      <c r="H3" s="29" t="s">
        <v>35</v>
      </c>
      <c r="I3" s="31">
        <f t="shared" ref="I3:I214" si="1">U3-A3</f>
        <v>521</v>
      </c>
      <c r="J3" s="33">
        <v>133.0</v>
      </c>
      <c r="K3" s="34">
        <f t="shared" ref="K3:K214" si="2">W3/T3+J3</f>
        <v>161.4765753</v>
      </c>
      <c r="L3" s="29">
        <v>8.0</v>
      </c>
      <c r="M3" s="29">
        <v>2000.0</v>
      </c>
      <c r="N3" s="29">
        <v>6000.0</v>
      </c>
      <c r="O3" s="35">
        <v>8.0</v>
      </c>
      <c r="P3" s="36">
        <v>7129.0</v>
      </c>
      <c r="Q3" s="38">
        <v>0.0</v>
      </c>
      <c r="R3" s="38">
        <v>0.0</v>
      </c>
      <c r="S3" s="38">
        <v>0.0</v>
      </c>
      <c r="T3" s="38">
        <f t="shared" ref="T3:T214" si="3">P3-Q3-R3</f>
        <v>7129</v>
      </c>
      <c r="U3" s="39">
        <f t="shared" ref="U3:U214" si="4">Today()</f>
        <v>46248</v>
      </c>
      <c r="V3" s="40">
        <f t="shared" ref="V3:V214" si="5">J3*P3</f>
        <v>948157</v>
      </c>
      <c r="W3" s="42">
        <f t="shared" ref="W3:W214" si="6">V3*I3/365*15%</f>
        <v>203009.5056</v>
      </c>
      <c r="Y3" s="43"/>
      <c r="Z3" s="43"/>
    </row>
    <row r="4" ht="15.75" customHeight="1">
      <c r="A4" s="44">
        <v>45912.0</v>
      </c>
      <c r="B4" s="45" t="s">
        <v>38</v>
      </c>
      <c r="C4" s="46">
        <v>788.0</v>
      </c>
      <c r="D4" s="46" t="s">
        <v>39</v>
      </c>
      <c r="E4" s="46">
        <v>788.0</v>
      </c>
      <c r="F4" s="46" t="s">
        <v>40</v>
      </c>
      <c r="G4" s="46" t="s">
        <v>38</v>
      </c>
      <c r="H4" s="30" t="s">
        <v>35</v>
      </c>
      <c r="I4" s="31">
        <f t="shared" si="1"/>
        <v>336</v>
      </c>
      <c r="J4" s="48">
        <v>57.0</v>
      </c>
      <c r="K4" s="34">
        <f t="shared" si="2"/>
        <v>64.87068493</v>
      </c>
      <c r="L4" s="46">
        <v>10.0</v>
      </c>
      <c r="M4" s="46">
        <v>300.0</v>
      </c>
      <c r="N4" s="46" t="s">
        <v>42</v>
      </c>
      <c r="O4" s="46">
        <v>4.0</v>
      </c>
      <c r="P4" s="36">
        <v>3871.0</v>
      </c>
      <c r="Q4" s="38">
        <v>0.0</v>
      </c>
      <c r="R4" s="38">
        <v>0.0</v>
      </c>
      <c r="S4" s="38">
        <v>0.0</v>
      </c>
      <c r="T4" s="38">
        <f t="shared" si="3"/>
        <v>3871</v>
      </c>
      <c r="U4" s="39">
        <f t="shared" si="4"/>
        <v>46248</v>
      </c>
      <c r="V4" s="40">
        <f t="shared" si="5"/>
        <v>220647</v>
      </c>
      <c r="W4" s="42">
        <f t="shared" si="6"/>
        <v>30467.42137</v>
      </c>
    </row>
    <row r="5" ht="15.75" hidden="1" customHeight="1">
      <c r="A5" s="44">
        <v>46242.0</v>
      </c>
      <c r="B5" s="49" t="s">
        <v>32</v>
      </c>
      <c r="C5" s="50">
        <v>788.0</v>
      </c>
      <c r="D5" s="51" t="s">
        <v>44</v>
      </c>
      <c r="E5" s="30">
        <v>788.0</v>
      </c>
      <c r="F5" s="50" t="s">
        <v>45</v>
      </c>
      <c r="G5" s="50" t="s">
        <v>46</v>
      </c>
      <c r="H5" s="49" t="s">
        <v>35</v>
      </c>
      <c r="I5" s="31">
        <f t="shared" si="1"/>
        <v>6</v>
      </c>
      <c r="J5" s="52">
        <v>68.474</v>
      </c>
      <c r="K5" s="34">
        <f t="shared" si="2"/>
        <v>68.64284</v>
      </c>
      <c r="L5" s="50">
        <v>32.0</v>
      </c>
      <c r="M5" s="51">
        <v>2500.0</v>
      </c>
      <c r="N5" s="51">
        <v>12000.0</v>
      </c>
      <c r="O5" s="51">
        <v>1.0</v>
      </c>
      <c r="P5" s="53">
        <v>7680.0</v>
      </c>
      <c r="Q5" s="38">
        <v>0.0</v>
      </c>
      <c r="R5" s="38">
        <v>0.0</v>
      </c>
      <c r="S5" s="38">
        <v>0.0</v>
      </c>
      <c r="T5" s="38">
        <f t="shared" si="3"/>
        <v>7680</v>
      </c>
      <c r="U5" s="39">
        <f t="shared" si="4"/>
        <v>46248</v>
      </c>
      <c r="V5" s="40">
        <f t="shared" si="5"/>
        <v>525880.32</v>
      </c>
      <c r="W5" s="42">
        <f t="shared" si="6"/>
        <v>1296.6912</v>
      </c>
      <c r="X5" s="54"/>
      <c r="Y5" s="55"/>
      <c r="Z5" s="55"/>
    </row>
    <row r="6" ht="15.75" customHeight="1">
      <c r="A6" s="56">
        <v>45679.0</v>
      </c>
      <c r="B6" s="49" t="s">
        <v>32</v>
      </c>
      <c r="C6" s="50">
        <v>788.0</v>
      </c>
      <c r="D6" s="50" t="s">
        <v>34</v>
      </c>
      <c r="E6" s="30">
        <v>788.0</v>
      </c>
      <c r="F6" s="50" t="s">
        <v>49</v>
      </c>
      <c r="G6" s="30" t="s">
        <v>51</v>
      </c>
      <c r="H6" s="49" t="s">
        <v>35</v>
      </c>
      <c r="I6" s="31">
        <f t="shared" si="1"/>
        <v>569</v>
      </c>
      <c r="J6" s="33">
        <v>69.31</v>
      </c>
      <c r="K6" s="34">
        <f t="shared" si="2"/>
        <v>85.51714658</v>
      </c>
      <c r="L6" s="50">
        <v>12.0</v>
      </c>
      <c r="M6" s="50">
        <v>2500.0</v>
      </c>
      <c r="N6" s="50">
        <v>6000.0</v>
      </c>
      <c r="O6" s="50">
        <v>1.0</v>
      </c>
      <c r="P6" s="57">
        <v>1381.0</v>
      </c>
      <c r="Q6" s="38">
        <v>0.0</v>
      </c>
      <c r="R6" s="38">
        <v>0.0</v>
      </c>
      <c r="S6" s="38">
        <v>0.0</v>
      </c>
      <c r="T6" s="38">
        <f t="shared" si="3"/>
        <v>1381</v>
      </c>
      <c r="U6" s="39">
        <f t="shared" si="4"/>
        <v>46248</v>
      </c>
      <c r="V6" s="40">
        <f t="shared" si="5"/>
        <v>95717.11</v>
      </c>
      <c r="W6" s="42">
        <f t="shared" si="6"/>
        <v>22382.06942</v>
      </c>
      <c r="Y6" s="43"/>
      <c r="Z6" s="43"/>
    </row>
    <row r="7" ht="15.75" customHeight="1">
      <c r="A7" s="44">
        <v>45912.0</v>
      </c>
      <c r="B7" s="49" t="s">
        <v>32</v>
      </c>
      <c r="C7" s="46">
        <v>788.0</v>
      </c>
      <c r="D7" s="46" t="s">
        <v>40</v>
      </c>
      <c r="E7" s="46">
        <v>788.0</v>
      </c>
      <c r="F7" s="46" t="s">
        <v>40</v>
      </c>
      <c r="G7" s="46" t="s">
        <v>13</v>
      </c>
      <c r="H7" s="46" t="s">
        <v>35</v>
      </c>
      <c r="I7" s="31">
        <f t="shared" si="1"/>
        <v>336</v>
      </c>
      <c r="J7" s="48">
        <v>105.3</v>
      </c>
      <c r="K7" s="34">
        <f t="shared" si="2"/>
        <v>119.8400548</v>
      </c>
      <c r="L7" s="46">
        <v>20.0</v>
      </c>
      <c r="M7" s="46">
        <v>2500.0</v>
      </c>
      <c r="N7" s="46">
        <v>12000.0</v>
      </c>
      <c r="O7" s="46">
        <v>1.0</v>
      </c>
      <c r="P7" s="60">
        <v>4737.0</v>
      </c>
      <c r="Q7" s="38">
        <v>0.0</v>
      </c>
      <c r="R7" s="38">
        <v>0.0</v>
      </c>
      <c r="S7" s="38">
        <v>0.0</v>
      </c>
      <c r="T7" s="38">
        <f t="shared" si="3"/>
        <v>4737</v>
      </c>
      <c r="U7" s="39">
        <f t="shared" si="4"/>
        <v>46248</v>
      </c>
      <c r="V7" s="40">
        <f t="shared" si="5"/>
        <v>498806.1</v>
      </c>
      <c r="W7" s="42">
        <f t="shared" si="6"/>
        <v>68876.23956</v>
      </c>
    </row>
    <row r="8" ht="15.75" customHeight="1">
      <c r="A8" s="44">
        <v>45964.0</v>
      </c>
      <c r="B8" s="49" t="s">
        <v>32</v>
      </c>
      <c r="C8" s="51">
        <v>788.0</v>
      </c>
      <c r="D8" s="51" t="s">
        <v>55</v>
      </c>
      <c r="E8" s="51">
        <v>788.0</v>
      </c>
      <c r="F8" s="51" t="s">
        <v>49</v>
      </c>
      <c r="G8" s="51" t="s">
        <v>56</v>
      </c>
      <c r="H8" s="49" t="s">
        <v>35</v>
      </c>
      <c r="I8" s="31">
        <f t="shared" si="1"/>
        <v>284</v>
      </c>
      <c r="J8" s="52">
        <v>111.2</v>
      </c>
      <c r="K8" s="34">
        <f t="shared" si="2"/>
        <v>124.178411</v>
      </c>
      <c r="L8" s="51">
        <v>25.0</v>
      </c>
      <c r="M8" s="51">
        <v>2000.0</v>
      </c>
      <c r="N8" s="51">
        <v>6000.0</v>
      </c>
      <c r="O8" s="51">
        <v>1.0</v>
      </c>
      <c r="P8" s="53">
        <v>2400.0</v>
      </c>
      <c r="Q8" s="38">
        <v>0.0</v>
      </c>
      <c r="R8" s="38">
        <v>0.0</v>
      </c>
      <c r="S8" s="38">
        <v>0.0</v>
      </c>
      <c r="T8" s="38">
        <f t="shared" si="3"/>
        <v>2400</v>
      </c>
      <c r="U8" s="39">
        <f t="shared" si="4"/>
        <v>46248</v>
      </c>
      <c r="V8" s="40">
        <f t="shared" si="5"/>
        <v>266880</v>
      </c>
      <c r="W8" s="42">
        <f t="shared" si="6"/>
        <v>31148.1863</v>
      </c>
    </row>
    <row r="9" ht="15.75" customHeight="1">
      <c r="A9" s="44">
        <v>45964.0</v>
      </c>
      <c r="B9" s="49" t="s">
        <v>32</v>
      </c>
      <c r="C9" s="51">
        <v>788.0</v>
      </c>
      <c r="D9" s="51" t="s">
        <v>59</v>
      </c>
      <c r="E9" s="46">
        <v>788.0</v>
      </c>
      <c r="F9" s="51" t="s">
        <v>60</v>
      </c>
      <c r="G9" s="51" t="s">
        <v>61</v>
      </c>
      <c r="H9" s="49" t="s">
        <v>35</v>
      </c>
      <c r="I9" s="31">
        <f t="shared" si="1"/>
        <v>284</v>
      </c>
      <c r="J9" s="52">
        <v>60.8</v>
      </c>
      <c r="K9" s="34">
        <f t="shared" si="2"/>
        <v>67.89610959</v>
      </c>
      <c r="L9" s="51">
        <v>8.0</v>
      </c>
      <c r="M9" s="51">
        <v>1250.0</v>
      </c>
      <c r="N9" s="51">
        <v>6000.0</v>
      </c>
      <c r="O9" s="51">
        <v>4.0</v>
      </c>
      <c r="P9" s="53">
        <v>1920.0</v>
      </c>
      <c r="Q9" s="38">
        <v>0.0</v>
      </c>
      <c r="R9" s="38">
        <v>0.0</v>
      </c>
      <c r="S9" s="38">
        <v>0.0</v>
      </c>
      <c r="T9" s="38">
        <f t="shared" si="3"/>
        <v>1920</v>
      </c>
      <c r="U9" s="39">
        <f t="shared" si="4"/>
        <v>46248</v>
      </c>
      <c r="V9" s="40">
        <f t="shared" si="5"/>
        <v>116736</v>
      </c>
      <c r="W9" s="42">
        <f t="shared" si="6"/>
        <v>13624.53041</v>
      </c>
    </row>
    <row r="10" ht="15.75" customHeight="1">
      <c r="A10" s="44">
        <v>45964.0</v>
      </c>
      <c r="B10" s="49" t="s">
        <v>32</v>
      </c>
      <c r="C10" s="51">
        <v>788.0</v>
      </c>
      <c r="D10" s="51" t="s">
        <v>59</v>
      </c>
      <c r="E10" s="46">
        <v>788.0</v>
      </c>
      <c r="F10" s="51" t="s">
        <v>60</v>
      </c>
      <c r="G10" s="51" t="s">
        <v>61</v>
      </c>
      <c r="H10" s="49" t="s">
        <v>35</v>
      </c>
      <c r="I10" s="31">
        <f t="shared" si="1"/>
        <v>284</v>
      </c>
      <c r="J10" s="52">
        <v>60.8</v>
      </c>
      <c r="K10" s="34">
        <f t="shared" si="2"/>
        <v>67.89610959</v>
      </c>
      <c r="L10" s="51">
        <v>10.0</v>
      </c>
      <c r="M10" s="51">
        <v>1250.0</v>
      </c>
      <c r="N10" s="51">
        <v>6000.0</v>
      </c>
      <c r="O10" s="51">
        <v>5.0</v>
      </c>
      <c r="P10" s="53">
        <v>2980.0</v>
      </c>
      <c r="Q10" s="38">
        <v>0.0</v>
      </c>
      <c r="R10" s="38">
        <v>0.0</v>
      </c>
      <c r="S10" s="38">
        <v>0.0</v>
      </c>
      <c r="T10" s="38">
        <f t="shared" si="3"/>
        <v>2980</v>
      </c>
      <c r="U10" s="39">
        <f t="shared" si="4"/>
        <v>46248</v>
      </c>
      <c r="V10" s="40">
        <f t="shared" si="5"/>
        <v>181184</v>
      </c>
      <c r="W10" s="42">
        <f t="shared" si="6"/>
        <v>21146.40658</v>
      </c>
    </row>
    <row r="11" ht="15.75" customHeight="1">
      <c r="A11" s="44">
        <v>45897.0</v>
      </c>
      <c r="B11" s="49" t="s">
        <v>32</v>
      </c>
      <c r="C11" s="46">
        <v>788.0</v>
      </c>
      <c r="D11" s="46" t="s">
        <v>40</v>
      </c>
      <c r="E11" s="46">
        <v>788.0</v>
      </c>
      <c r="F11" s="46" t="s">
        <v>40</v>
      </c>
      <c r="G11" s="46" t="s">
        <v>13</v>
      </c>
      <c r="H11" s="46" t="s">
        <v>35</v>
      </c>
      <c r="I11" s="31">
        <f t="shared" si="1"/>
        <v>351</v>
      </c>
      <c r="J11" s="48">
        <v>109.0</v>
      </c>
      <c r="K11" s="34">
        <f t="shared" si="2"/>
        <v>124.7228767</v>
      </c>
      <c r="L11" s="46">
        <v>40.0</v>
      </c>
      <c r="M11" s="46">
        <v>2000.0</v>
      </c>
      <c r="N11" s="46">
        <v>12000.0</v>
      </c>
      <c r="O11" s="46">
        <v>2.0</v>
      </c>
      <c r="P11" s="60">
        <v>15230.0</v>
      </c>
      <c r="Q11" s="38">
        <v>0.0</v>
      </c>
      <c r="R11" s="38">
        <v>0.0</v>
      </c>
      <c r="S11" s="38">
        <v>0.0</v>
      </c>
      <c r="T11" s="38">
        <f t="shared" si="3"/>
        <v>15230</v>
      </c>
      <c r="U11" s="39">
        <f t="shared" si="4"/>
        <v>46248</v>
      </c>
      <c r="V11" s="40">
        <f t="shared" si="5"/>
        <v>1660070</v>
      </c>
      <c r="W11" s="42">
        <f t="shared" si="6"/>
        <v>239459.4123</v>
      </c>
      <c r="X11" s="61"/>
      <c r="Y11" s="62"/>
      <c r="Z11" s="62"/>
    </row>
    <row r="12" ht="15.75" customHeight="1">
      <c r="A12" s="44">
        <v>45966.0</v>
      </c>
      <c r="B12" s="49" t="s">
        <v>32</v>
      </c>
      <c r="C12" s="51">
        <v>788.0</v>
      </c>
      <c r="D12" s="51" t="s">
        <v>55</v>
      </c>
      <c r="E12" s="46">
        <v>788.0</v>
      </c>
      <c r="F12" s="51" t="s">
        <v>49</v>
      </c>
      <c r="G12" s="51" t="s">
        <v>13</v>
      </c>
      <c r="H12" s="49" t="s">
        <v>35</v>
      </c>
      <c r="I12" s="31">
        <f t="shared" si="1"/>
        <v>282</v>
      </c>
      <c r="J12" s="52">
        <v>106.2</v>
      </c>
      <c r="K12" s="34">
        <f t="shared" si="2"/>
        <v>118.5075616</v>
      </c>
      <c r="L12" s="51">
        <v>45.0</v>
      </c>
      <c r="M12" s="51">
        <v>2500.0</v>
      </c>
      <c r="N12" s="51">
        <v>12000.0</v>
      </c>
      <c r="O12" s="51">
        <v>1.0</v>
      </c>
      <c r="P12" s="57">
        <v>10851.0</v>
      </c>
      <c r="Q12" s="38">
        <v>0.0</v>
      </c>
      <c r="R12" s="38">
        <v>0.0</v>
      </c>
      <c r="S12" s="38">
        <v>0.0</v>
      </c>
      <c r="T12" s="38">
        <f t="shared" si="3"/>
        <v>10851</v>
      </c>
      <c r="U12" s="39">
        <f t="shared" si="4"/>
        <v>46248</v>
      </c>
      <c r="V12" s="40">
        <f t="shared" si="5"/>
        <v>1152376.2</v>
      </c>
      <c r="W12" s="42">
        <f t="shared" si="6"/>
        <v>133549.3514</v>
      </c>
    </row>
    <row r="13" ht="15.75" customHeight="1">
      <c r="A13" s="44">
        <v>45976.0</v>
      </c>
      <c r="B13" s="49" t="s">
        <v>32</v>
      </c>
      <c r="C13" s="46">
        <v>788.0</v>
      </c>
      <c r="D13" s="46" t="s">
        <v>40</v>
      </c>
      <c r="E13" s="46">
        <v>788.0</v>
      </c>
      <c r="F13" s="46" t="s">
        <v>40</v>
      </c>
      <c r="G13" s="46" t="s">
        <v>61</v>
      </c>
      <c r="H13" s="49" t="s">
        <v>35</v>
      </c>
      <c r="I13" s="31">
        <f t="shared" si="1"/>
        <v>272</v>
      </c>
      <c r="J13" s="52">
        <v>68.8</v>
      </c>
      <c r="K13" s="34">
        <f t="shared" si="2"/>
        <v>76.49052055</v>
      </c>
      <c r="L13" s="46">
        <v>12.0</v>
      </c>
      <c r="M13" s="46">
        <v>2000.0</v>
      </c>
      <c r="N13" s="46">
        <v>6000.0</v>
      </c>
      <c r="O13" s="46">
        <v>10.0</v>
      </c>
      <c r="P13" s="36">
        <v>11615.0</v>
      </c>
      <c r="Q13" s="38">
        <v>0.0</v>
      </c>
      <c r="R13" s="38">
        <v>0.0</v>
      </c>
      <c r="S13" s="38">
        <v>0.0</v>
      </c>
      <c r="T13" s="38">
        <f t="shared" si="3"/>
        <v>11615</v>
      </c>
      <c r="U13" s="39">
        <f t="shared" si="4"/>
        <v>46248</v>
      </c>
      <c r="V13" s="40">
        <f t="shared" si="5"/>
        <v>799112</v>
      </c>
      <c r="W13" s="42">
        <f t="shared" si="6"/>
        <v>89325.39616</v>
      </c>
    </row>
    <row r="14" ht="15.75" customHeight="1">
      <c r="A14" s="44">
        <v>45948.0</v>
      </c>
      <c r="B14" s="49" t="s">
        <v>32</v>
      </c>
      <c r="C14" s="51">
        <v>788.0</v>
      </c>
      <c r="D14" s="51" t="s">
        <v>69</v>
      </c>
      <c r="E14" s="51">
        <v>788.0</v>
      </c>
      <c r="F14" s="51" t="s">
        <v>40</v>
      </c>
      <c r="G14" s="51" t="s">
        <v>71</v>
      </c>
      <c r="H14" s="49" t="s">
        <v>35</v>
      </c>
      <c r="I14" s="31">
        <f t="shared" si="1"/>
        <v>300</v>
      </c>
      <c r="J14" s="52">
        <v>67.7</v>
      </c>
      <c r="K14" s="34">
        <f t="shared" si="2"/>
        <v>76.04657534</v>
      </c>
      <c r="L14" s="51">
        <v>70.0</v>
      </c>
      <c r="M14" s="51">
        <v>1500.0</v>
      </c>
      <c r="N14" s="51">
        <v>3000.0</v>
      </c>
      <c r="O14" s="51">
        <v>1.0</v>
      </c>
      <c r="P14" s="53">
        <v>2570.0</v>
      </c>
      <c r="Q14" s="38">
        <v>0.0</v>
      </c>
      <c r="R14" s="38">
        <v>0.0</v>
      </c>
      <c r="S14" s="38">
        <v>0.0</v>
      </c>
      <c r="T14" s="38">
        <f t="shared" si="3"/>
        <v>2570</v>
      </c>
      <c r="U14" s="39">
        <f t="shared" si="4"/>
        <v>46248</v>
      </c>
      <c r="V14" s="40">
        <f t="shared" si="5"/>
        <v>173989</v>
      </c>
      <c r="W14" s="42">
        <f t="shared" si="6"/>
        <v>21450.69863</v>
      </c>
    </row>
    <row r="15" ht="15.75" customHeight="1">
      <c r="A15" s="56">
        <v>45715.0</v>
      </c>
      <c r="B15" s="49" t="s">
        <v>32</v>
      </c>
      <c r="C15" s="50">
        <v>788.0</v>
      </c>
      <c r="D15" s="50" t="s">
        <v>34</v>
      </c>
      <c r="E15" s="30">
        <v>788.0</v>
      </c>
      <c r="F15" s="50" t="s">
        <v>49</v>
      </c>
      <c r="G15" s="50" t="s">
        <v>13</v>
      </c>
      <c r="H15" s="49" t="s">
        <v>35</v>
      </c>
      <c r="I15" s="31">
        <f t="shared" si="1"/>
        <v>533</v>
      </c>
      <c r="J15" s="33">
        <v>117.0</v>
      </c>
      <c r="K15" s="34">
        <f t="shared" si="2"/>
        <v>142.6278082</v>
      </c>
      <c r="L15" s="50">
        <v>80.0</v>
      </c>
      <c r="M15" s="50">
        <v>2500.0</v>
      </c>
      <c r="N15" s="51">
        <v>2000.0</v>
      </c>
      <c r="O15" s="50">
        <v>1.0</v>
      </c>
      <c r="P15" s="57">
        <v>3111.0</v>
      </c>
      <c r="Q15" s="38">
        <v>0.0</v>
      </c>
      <c r="R15" s="38">
        <v>0.0</v>
      </c>
      <c r="S15" s="38">
        <v>0.0</v>
      </c>
      <c r="T15" s="38">
        <f t="shared" si="3"/>
        <v>3111</v>
      </c>
      <c r="U15" s="39">
        <f t="shared" si="4"/>
        <v>46248</v>
      </c>
      <c r="V15" s="40">
        <f t="shared" si="5"/>
        <v>363987</v>
      </c>
      <c r="W15" s="42">
        <f t="shared" si="6"/>
        <v>79728.11137</v>
      </c>
      <c r="Y15" s="43"/>
      <c r="Z15" s="43"/>
    </row>
    <row r="16" ht="15.75" hidden="1" customHeight="1">
      <c r="A16" s="44">
        <v>45922.0</v>
      </c>
      <c r="B16" s="49" t="s">
        <v>32</v>
      </c>
      <c r="C16" s="50">
        <v>788.0</v>
      </c>
      <c r="D16" s="51" t="s">
        <v>55</v>
      </c>
      <c r="E16" s="30">
        <v>788.0</v>
      </c>
      <c r="F16" s="51" t="s">
        <v>49</v>
      </c>
      <c r="G16" s="51" t="s">
        <v>72</v>
      </c>
      <c r="H16" s="49" t="s">
        <v>35</v>
      </c>
      <c r="I16" s="31">
        <f t="shared" si="1"/>
        <v>326</v>
      </c>
      <c r="J16" s="52">
        <v>59.15</v>
      </c>
      <c r="K16" s="34">
        <f t="shared" si="2"/>
        <v>67.07447945</v>
      </c>
      <c r="L16" s="51">
        <v>100.0</v>
      </c>
      <c r="M16" s="51">
        <v>2500.0</v>
      </c>
      <c r="N16" s="51">
        <v>1500.0</v>
      </c>
      <c r="O16" s="51">
        <v>1.0</v>
      </c>
      <c r="P16" s="53">
        <v>2940.0</v>
      </c>
      <c r="Q16" s="38">
        <v>0.0</v>
      </c>
      <c r="R16" s="38">
        <v>0.0</v>
      </c>
      <c r="S16" s="38">
        <v>0.0</v>
      </c>
      <c r="T16" s="38">
        <f t="shared" si="3"/>
        <v>2940</v>
      </c>
      <c r="U16" s="39">
        <f t="shared" si="4"/>
        <v>46248</v>
      </c>
      <c r="V16" s="40">
        <f t="shared" si="5"/>
        <v>173901</v>
      </c>
      <c r="W16" s="42">
        <f t="shared" si="6"/>
        <v>23297.96959</v>
      </c>
    </row>
    <row r="17" ht="15.75" customHeight="1">
      <c r="A17" s="56">
        <v>45805.0</v>
      </c>
      <c r="B17" s="49" t="s">
        <v>73</v>
      </c>
      <c r="C17" s="50">
        <v>788.0</v>
      </c>
      <c r="D17" s="50" t="s">
        <v>74</v>
      </c>
      <c r="E17" s="30">
        <v>788.0</v>
      </c>
      <c r="F17" s="50" t="s">
        <v>35</v>
      </c>
      <c r="G17" s="50" t="s">
        <v>73</v>
      </c>
      <c r="H17" s="49" t="s">
        <v>35</v>
      </c>
      <c r="I17" s="31">
        <f t="shared" si="1"/>
        <v>443</v>
      </c>
      <c r="J17" s="33">
        <v>71.22</v>
      </c>
      <c r="K17" s="34">
        <f t="shared" si="2"/>
        <v>84.18594247</v>
      </c>
      <c r="L17" s="50">
        <v>152.0</v>
      </c>
      <c r="M17" s="50">
        <v>152.0</v>
      </c>
      <c r="N17" s="50">
        <v>30.0</v>
      </c>
      <c r="O17" s="50">
        <v>3.0</v>
      </c>
      <c r="P17" s="63">
        <v>1090.0</v>
      </c>
      <c r="Q17" s="38">
        <v>0.0</v>
      </c>
      <c r="R17" s="38">
        <v>0.0</v>
      </c>
      <c r="S17" s="38">
        <v>0.0</v>
      </c>
      <c r="T17" s="38">
        <f t="shared" si="3"/>
        <v>1090</v>
      </c>
      <c r="U17" s="39">
        <f t="shared" si="4"/>
        <v>46248</v>
      </c>
      <c r="V17" s="40">
        <f t="shared" si="5"/>
        <v>77629.8</v>
      </c>
      <c r="W17" s="42">
        <f t="shared" si="6"/>
        <v>14132.87729</v>
      </c>
      <c r="X17" s="54"/>
      <c r="Y17" s="55"/>
      <c r="Z17" s="55"/>
    </row>
    <row r="18" ht="15.75" customHeight="1">
      <c r="A18" s="44">
        <v>45973.0</v>
      </c>
      <c r="B18" s="49" t="s">
        <v>32</v>
      </c>
      <c r="C18" s="51" t="s">
        <v>75</v>
      </c>
      <c r="D18" s="51" t="s">
        <v>40</v>
      </c>
      <c r="E18" s="51" t="s">
        <v>75</v>
      </c>
      <c r="F18" s="51" t="s">
        <v>40</v>
      </c>
      <c r="G18" s="51" t="s">
        <v>13</v>
      </c>
      <c r="H18" s="45" t="s">
        <v>76</v>
      </c>
      <c r="I18" s="31">
        <f t="shared" si="1"/>
        <v>275</v>
      </c>
      <c r="J18" s="52">
        <v>103.5</v>
      </c>
      <c r="K18" s="34">
        <f t="shared" si="2"/>
        <v>115.1969178</v>
      </c>
      <c r="L18" s="51">
        <v>35.0</v>
      </c>
      <c r="M18" s="51">
        <v>2500.0</v>
      </c>
      <c r="N18" s="51">
        <v>10000.0</v>
      </c>
      <c r="O18" s="51">
        <v>1.0</v>
      </c>
      <c r="P18" s="57">
        <v>6979.0</v>
      </c>
      <c r="Q18" s="38">
        <v>0.0</v>
      </c>
      <c r="R18" s="38">
        <v>0.0</v>
      </c>
      <c r="S18" s="38">
        <v>0.0</v>
      </c>
      <c r="T18" s="38">
        <f t="shared" si="3"/>
        <v>6979</v>
      </c>
      <c r="U18" s="39">
        <f t="shared" si="4"/>
        <v>46248</v>
      </c>
      <c r="V18" s="40">
        <f t="shared" si="5"/>
        <v>722326.5</v>
      </c>
      <c r="W18" s="42">
        <f t="shared" si="6"/>
        <v>81632.78938</v>
      </c>
    </row>
    <row r="19" ht="15.75" customHeight="1">
      <c r="A19" s="44">
        <v>45973.0</v>
      </c>
      <c r="B19" s="49" t="s">
        <v>32</v>
      </c>
      <c r="C19" s="51">
        <v>788.0</v>
      </c>
      <c r="D19" s="51" t="s">
        <v>69</v>
      </c>
      <c r="E19" s="51">
        <v>788.0</v>
      </c>
      <c r="F19" s="51" t="s">
        <v>40</v>
      </c>
      <c r="G19" s="51" t="s">
        <v>13</v>
      </c>
      <c r="H19" s="45" t="s">
        <v>35</v>
      </c>
      <c r="I19" s="31">
        <f t="shared" si="1"/>
        <v>275</v>
      </c>
      <c r="J19" s="52">
        <v>103.5</v>
      </c>
      <c r="K19" s="34">
        <f t="shared" si="2"/>
        <v>115.1969178</v>
      </c>
      <c r="L19" s="51">
        <v>40.0</v>
      </c>
      <c r="M19" s="51">
        <v>2500.0</v>
      </c>
      <c r="N19" s="51">
        <v>4000.0</v>
      </c>
      <c r="O19" s="51">
        <v>1.0</v>
      </c>
      <c r="P19" s="57">
        <v>3242.0</v>
      </c>
      <c r="Q19" s="38">
        <v>0.0</v>
      </c>
      <c r="R19" s="38">
        <v>0.0</v>
      </c>
      <c r="S19" s="38">
        <v>0.0</v>
      </c>
      <c r="T19" s="38">
        <f t="shared" si="3"/>
        <v>3242</v>
      </c>
      <c r="U19" s="39">
        <f t="shared" si="4"/>
        <v>46248</v>
      </c>
      <c r="V19" s="40">
        <f t="shared" si="5"/>
        <v>335547</v>
      </c>
      <c r="W19" s="42">
        <f t="shared" si="6"/>
        <v>37921.40753</v>
      </c>
    </row>
    <row r="20" ht="15.75" customHeight="1">
      <c r="A20" s="44">
        <v>45986.0</v>
      </c>
      <c r="B20" s="49" t="s">
        <v>32</v>
      </c>
      <c r="C20" s="51">
        <v>788.0</v>
      </c>
      <c r="D20" s="51" t="s">
        <v>69</v>
      </c>
      <c r="E20" s="51">
        <v>788.0</v>
      </c>
      <c r="F20" s="51" t="s">
        <v>40</v>
      </c>
      <c r="G20" s="51" t="s">
        <v>13</v>
      </c>
      <c r="H20" s="45" t="s">
        <v>35</v>
      </c>
      <c r="I20" s="31">
        <f t="shared" si="1"/>
        <v>262</v>
      </c>
      <c r="J20" s="52">
        <v>103.4</v>
      </c>
      <c r="K20" s="34">
        <f t="shared" si="2"/>
        <v>114.5332055</v>
      </c>
      <c r="L20" s="51">
        <v>40.0</v>
      </c>
      <c r="M20" s="51">
        <v>2500.0</v>
      </c>
      <c r="N20" s="51">
        <v>4000.0</v>
      </c>
      <c r="O20" s="51">
        <v>1.0</v>
      </c>
      <c r="P20" s="57">
        <v>3242.0</v>
      </c>
      <c r="Q20" s="38">
        <v>0.0</v>
      </c>
      <c r="R20" s="38">
        <v>0.0</v>
      </c>
      <c r="S20" s="38">
        <v>0.0</v>
      </c>
      <c r="T20" s="38">
        <f t="shared" si="3"/>
        <v>3242</v>
      </c>
      <c r="U20" s="39">
        <f t="shared" si="4"/>
        <v>46248</v>
      </c>
      <c r="V20" s="40">
        <f t="shared" si="5"/>
        <v>335222.8</v>
      </c>
      <c r="W20" s="42">
        <f t="shared" si="6"/>
        <v>36093.85216</v>
      </c>
    </row>
    <row r="21" ht="15.75" customHeight="1">
      <c r="A21" s="44">
        <v>45981.0</v>
      </c>
      <c r="B21" s="49" t="s">
        <v>32</v>
      </c>
      <c r="C21" s="46">
        <v>788.0</v>
      </c>
      <c r="D21" s="46" t="s">
        <v>40</v>
      </c>
      <c r="E21" s="46">
        <v>788.0</v>
      </c>
      <c r="F21" s="46" t="s">
        <v>40</v>
      </c>
      <c r="G21" s="46" t="s">
        <v>61</v>
      </c>
      <c r="H21" s="30" t="s">
        <v>35</v>
      </c>
      <c r="I21" s="31">
        <f t="shared" si="1"/>
        <v>267</v>
      </c>
      <c r="J21" s="52">
        <v>68.8</v>
      </c>
      <c r="K21" s="34">
        <f t="shared" si="2"/>
        <v>76.34915068</v>
      </c>
      <c r="L21" s="46">
        <v>12.0</v>
      </c>
      <c r="M21" s="46">
        <v>2000.0</v>
      </c>
      <c r="N21" s="46">
        <v>6000.0</v>
      </c>
      <c r="O21" s="46">
        <v>4.0</v>
      </c>
      <c r="P21" s="36">
        <v>4612.0</v>
      </c>
      <c r="Q21" s="38">
        <v>0.0</v>
      </c>
      <c r="R21" s="38">
        <v>0.0</v>
      </c>
      <c r="S21" s="38">
        <v>0.0</v>
      </c>
      <c r="T21" s="38">
        <f t="shared" si="3"/>
        <v>4612</v>
      </c>
      <c r="U21" s="39">
        <f t="shared" si="4"/>
        <v>46248</v>
      </c>
      <c r="V21" s="40">
        <f t="shared" si="5"/>
        <v>317305.6</v>
      </c>
      <c r="W21" s="42">
        <f t="shared" si="6"/>
        <v>34816.68296</v>
      </c>
    </row>
    <row r="22" ht="15.75" hidden="1" customHeight="1">
      <c r="A22" s="44">
        <v>46236.0</v>
      </c>
      <c r="B22" s="49" t="s">
        <v>32</v>
      </c>
      <c r="C22" s="51" t="s">
        <v>82</v>
      </c>
      <c r="D22" s="51" t="s">
        <v>44</v>
      </c>
      <c r="E22" s="51" t="s">
        <v>82</v>
      </c>
      <c r="F22" s="51" t="s">
        <v>45</v>
      </c>
      <c r="G22" s="51" t="s">
        <v>46</v>
      </c>
      <c r="H22" s="49" t="s">
        <v>35</v>
      </c>
      <c r="I22" s="31">
        <f t="shared" si="1"/>
        <v>12</v>
      </c>
      <c r="J22" s="52">
        <v>72.6</v>
      </c>
      <c r="K22" s="34">
        <f t="shared" si="2"/>
        <v>72.9580274</v>
      </c>
      <c r="L22" s="51">
        <v>100.0</v>
      </c>
      <c r="M22" s="51">
        <v>1250.0</v>
      </c>
      <c r="N22" s="51">
        <v>12000.0</v>
      </c>
      <c r="O22" s="51">
        <v>1.0</v>
      </c>
      <c r="P22" s="53">
        <v>12110.0</v>
      </c>
      <c r="Q22" s="38">
        <v>0.0</v>
      </c>
      <c r="R22" s="38">
        <v>0.0</v>
      </c>
      <c r="S22" s="38">
        <v>0.0</v>
      </c>
      <c r="T22" s="38">
        <f t="shared" si="3"/>
        <v>12110</v>
      </c>
      <c r="U22" s="39">
        <f t="shared" si="4"/>
        <v>46248</v>
      </c>
      <c r="V22" s="40">
        <f t="shared" si="5"/>
        <v>879186</v>
      </c>
      <c r="W22" s="42">
        <f t="shared" si="6"/>
        <v>4335.711781</v>
      </c>
    </row>
    <row r="23" ht="15.75" customHeight="1">
      <c r="A23" s="44">
        <v>46217.0</v>
      </c>
      <c r="B23" s="49" t="s">
        <v>32</v>
      </c>
      <c r="C23" s="51">
        <v>788.0</v>
      </c>
      <c r="D23" s="51" t="s">
        <v>84</v>
      </c>
      <c r="E23" s="51">
        <v>788.0</v>
      </c>
      <c r="F23" s="51" t="s">
        <v>49</v>
      </c>
      <c r="G23" s="51" t="s">
        <v>85</v>
      </c>
      <c r="H23" s="45" t="s">
        <v>86</v>
      </c>
      <c r="I23" s="31">
        <f t="shared" si="1"/>
        <v>31</v>
      </c>
      <c r="J23" s="52">
        <v>101.0</v>
      </c>
      <c r="K23" s="34">
        <f t="shared" si="2"/>
        <v>102.2867123</v>
      </c>
      <c r="L23" s="51">
        <v>10.0</v>
      </c>
      <c r="M23" s="51">
        <v>2500.0</v>
      </c>
      <c r="N23" s="51">
        <v>6000.0</v>
      </c>
      <c r="O23" s="51">
        <v>1.0</v>
      </c>
      <c r="P23" s="53">
        <v>1205.0</v>
      </c>
      <c r="Q23" s="38">
        <v>0.0</v>
      </c>
      <c r="R23" s="38">
        <v>0.0</v>
      </c>
      <c r="S23" s="38">
        <v>0.0</v>
      </c>
      <c r="T23" s="38">
        <f t="shared" si="3"/>
        <v>1205</v>
      </c>
      <c r="U23" s="39">
        <f t="shared" si="4"/>
        <v>46248</v>
      </c>
      <c r="V23" s="40">
        <f t="shared" si="5"/>
        <v>121705</v>
      </c>
      <c r="W23" s="42">
        <f t="shared" si="6"/>
        <v>1550.488356</v>
      </c>
    </row>
    <row r="24" ht="15.75" hidden="1" customHeight="1">
      <c r="A24" s="44">
        <v>46138.0</v>
      </c>
      <c r="B24" s="49" t="s">
        <v>32</v>
      </c>
      <c r="C24" s="51">
        <v>788.0</v>
      </c>
      <c r="D24" s="51" t="s">
        <v>88</v>
      </c>
      <c r="E24" s="51">
        <v>788.0</v>
      </c>
      <c r="F24" s="51" t="s">
        <v>35</v>
      </c>
      <c r="G24" s="51" t="s">
        <v>72</v>
      </c>
      <c r="H24" s="49" t="s">
        <v>35</v>
      </c>
      <c r="I24" s="31">
        <f t="shared" si="1"/>
        <v>110</v>
      </c>
      <c r="J24" s="52">
        <v>52.2</v>
      </c>
      <c r="K24" s="34">
        <f t="shared" si="2"/>
        <v>54.55972603</v>
      </c>
      <c r="L24" s="51">
        <v>2.0</v>
      </c>
      <c r="M24" s="51">
        <v>1250.0</v>
      </c>
      <c r="N24" s="51" t="s">
        <v>89</v>
      </c>
      <c r="O24" s="51">
        <v>0.0</v>
      </c>
      <c r="P24" s="53">
        <v>630.0</v>
      </c>
      <c r="Q24" s="38">
        <v>0.0</v>
      </c>
      <c r="R24" s="38">
        <v>0.0</v>
      </c>
      <c r="S24" s="38">
        <v>0.0</v>
      </c>
      <c r="T24" s="38">
        <f t="shared" si="3"/>
        <v>630</v>
      </c>
      <c r="U24" s="39">
        <f t="shared" si="4"/>
        <v>46248</v>
      </c>
      <c r="V24" s="40">
        <f t="shared" si="5"/>
        <v>32886</v>
      </c>
      <c r="W24" s="42">
        <f t="shared" si="6"/>
        <v>1486.627397</v>
      </c>
    </row>
    <row r="25" ht="23.25" customHeight="1">
      <c r="A25" s="44">
        <v>45972.0</v>
      </c>
      <c r="B25" s="49" t="s">
        <v>32</v>
      </c>
      <c r="C25" s="51">
        <v>788.0</v>
      </c>
      <c r="D25" s="51" t="s">
        <v>90</v>
      </c>
      <c r="E25" s="51">
        <v>788.0</v>
      </c>
      <c r="F25" s="51" t="s">
        <v>40</v>
      </c>
      <c r="G25" s="51" t="s">
        <v>91</v>
      </c>
      <c r="H25" s="45" t="s">
        <v>92</v>
      </c>
      <c r="I25" s="31">
        <f t="shared" si="1"/>
        <v>276</v>
      </c>
      <c r="J25" s="52">
        <v>94.0</v>
      </c>
      <c r="K25" s="34">
        <f t="shared" si="2"/>
        <v>104.6619178</v>
      </c>
      <c r="L25" s="51">
        <v>12.0</v>
      </c>
      <c r="M25" s="51">
        <v>2200.0</v>
      </c>
      <c r="N25" s="51">
        <v>6300.0</v>
      </c>
      <c r="O25" s="51">
        <v>2.0</v>
      </c>
      <c r="P25" s="53">
        <v>2730.0</v>
      </c>
      <c r="Q25" s="38">
        <v>0.0</v>
      </c>
      <c r="R25" s="38">
        <v>0.0</v>
      </c>
      <c r="S25" s="38">
        <v>0.0</v>
      </c>
      <c r="T25" s="38">
        <f t="shared" si="3"/>
        <v>2730</v>
      </c>
      <c r="U25" s="39">
        <f t="shared" si="4"/>
        <v>46248</v>
      </c>
      <c r="V25" s="40">
        <f t="shared" si="5"/>
        <v>256620</v>
      </c>
      <c r="W25" s="42">
        <f t="shared" si="6"/>
        <v>29107.03562</v>
      </c>
    </row>
    <row r="26" ht="15.75" customHeight="1">
      <c r="A26" s="44">
        <v>46032.0</v>
      </c>
      <c r="B26" s="49" t="s">
        <v>32</v>
      </c>
      <c r="C26" s="51">
        <v>788.0</v>
      </c>
      <c r="D26" s="51" t="s">
        <v>93</v>
      </c>
      <c r="E26" s="51">
        <v>788.0</v>
      </c>
      <c r="F26" s="51" t="s">
        <v>35</v>
      </c>
      <c r="G26" s="51" t="s">
        <v>94</v>
      </c>
      <c r="H26" s="49" t="s">
        <v>35</v>
      </c>
      <c r="I26" s="31">
        <f t="shared" si="1"/>
        <v>216</v>
      </c>
      <c r="J26" s="52">
        <v>57.58</v>
      </c>
      <c r="K26" s="34">
        <f t="shared" si="2"/>
        <v>62.69121096</v>
      </c>
      <c r="L26" s="51">
        <v>12.0</v>
      </c>
      <c r="M26" s="51">
        <v>2000.0</v>
      </c>
      <c r="N26" s="51">
        <v>6000.0</v>
      </c>
      <c r="O26" s="51">
        <v>1.0</v>
      </c>
      <c r="P26" s="53">
        <v>1087.0</v>
      </c>
      <c r="Q26" s="38">
        <v>0.0</v>
      </c>
      <c r="R26" s="38">
        <v>0.0</v>
      </c>
      <c r="S26" s="38">
        <v>0.0</v>
      </c>
      <c r="T26" s="38">
        <f t="shared" si="3"/>
        <v>1087</v>
      </c>
      <c r="U26" s="39">
        <f t="shared" si="4"/>
        <v>46248</v>
      </c>
      <c r="V26" s="40">
        <f t="shared" si="5"/>
        <v>62589.46</v>
      </c>
      <c r="W26" s="42">
        <f t="shared" si="6"/>
        <v>5555.886312</v>
      </c>
    </row>
    <row r="27" ht="15.75" hidden="1" customHeight="1">
      <c r="A27" s="44">
        <v>46041.0</v>
      </c>
      <c r="B27" s="45" t="s">
        <v>32</v>
      </c>
      <c r="C27" s="46">
        <v>788.0</v>
      </c>
      <c r="D27" s="46" t="s">
        <v>55</v>
      </c>
      <c r="E27" s="46">
        <v>788.0</v>
      </c>
      <c r="F27" s="46" t="s">
        <v>49</v>
      </c>
      <c r="G27" s="46" t="s">
        <v>95</v>
      </c>
      <c r="H27" s="30" t="s">
        <v>35</v>
      </c>
      <c r="I27" s="31">
        <f t="shared" si="1"/>
        <v>207</v>
      </c>
      <c r="J27" s="52">
        <v>101.0</v>
      </c>
      <c r="K27" s="34">
        <f t="shared" si="2"/>
        <v>109.5919178</v>
      </c>
      <c r="L27" s="46">
        <v>35.0</v>
      </c>
      <c r="M27" s="46">
        <v>2000.0</v>
      </c>
      <c r="N27" s="46">
        <v>6000.0</v>
      </c>
      <c r="O27" s="46">
        <v>2.0</v>
      </c>
      <c r="P27" s="36">
        <v>6834.0</v>
      </c>
      <c r="Q27" s="38">
        <v>0.0</v>
      </c>
      <c r="R27" s="38">
        <v>0.0</v>
      </c>
      <c r="S27" s="38">
        <v>0.0</v>
      </c>
      <c r="T27" s="38">
        <f t="shared" si="3"/>
        <v>6834</v>
      </c>
      <c r="U27" s="39">
        <f t="shared" si="4"/>
        <v>46248</v>
      </c>
      <c r="V27" s="40">
        <f t="shared" si="5"/>
        <v>690234</v>
      </c>
      <c r="W27" s="42">
        <f t="shared" si="6"/>
        <v>58717.1663</v>
      </c>
    </row>
    <row r="28" ht="15.75" customHeight="1">
      <c r="A28" s="44">
        <v>46034.0</v>
      </c>
      <c r="B28" s="49" t="s">
        <v>32</v>
      </c>
      <c r="C28" s="51" t="s">
        <v>75</v>
      </c>
      <c r="D28" s="51" t="s">
        <v>40</v>
      </c>
      <c r="E28" s="51" t="s">
        <v>75</v>
      </c>
      <c r="F28" s="51" t="s">
        <v>40</v>
      </c>
      <c r="G28" s="51" t="s">
        <v>13</v>
      </c>
      <c r="H28" s="45" t="s">
        <v>76</v>
      </c>
      <c r="I28" s="31">
        <f t="shared" si="1"/>
        <v>214</v>
      </c>
      <c r="J28" s="52">
        <v>103.5</v>
      </c>
      <c r="K28" s="34">
        <f t="shared" si="2"/>
        <v>112.6023288</v>
      </c>
      <c r="L28" s="51">
        <v>35.0</v>
      </c>
      <c r="M28" s="51">
        <v>2500.0</v>
      </c>
      <c r="N28" s="51">
        <v>10000.0</v>
      </c>
      <c r="O28" s="51">
        <v>1.0</v>
      </c>
      <c r="P28" s="57">
        <v>6986.0</v>
      </c>
      <c r="Q28" s="38">
        <v>0.0</v>
      </c>
      <c r="R28" s="38">
        <v>0.0</v>
      </c>
      <c r="S28" s="38">
        <v>0.0</v>
      </c>
      <c r="T28" s="38">
        <f t="shared" si="3"/>
        <v>6986</v>
      </c>
      <c r="U28" s="39">
        <f t="shared" si="4"/>
        <v>46248</v>
      </c>
      <c r="V28" s="40">
        <f t="shared" si="5"/>
        <v>723051</v>
      </c>
      <c r="W28" s="42">
        <f t="shared" si="6"/>
        <v>63588.86877</v>
      </c>
    </row>
    <row r="29" ht="15.75" customHeight="1">
      <c r="A29" s="44">
        <v>46036.0</v>
      </c>
      <c r="B29" s="49" t="s">
        <v>32</v>
      </c>
      <c r="C29" s="50">
        <v>788.0</v>
      </c>
      <c r="D29" s="50" t="s">
        <v>97</v>
      </c>
      <c r="E29" s="30">
        <v>788.0</v>
      </c>
      <c r="F29" s="50" t="s">
        <v>40</v>
      </c>
      <c r="G29" s="50" t="s">
        <v>13</v>
      </c>
      <c r="H29" s="49" t="s">
        <v>35</v>
      </c>
      <c r="I29" s="31">
        <f t="shared" si="1"/>
        <v>212</v>
      </c>
      <c r="J29" s="52">
        <v>106.56</v>
      </c>
      <c r="K29" s="34">
        <f t="shared" si="2"/>
        <v>115.8438575</v>
      </c>
      <c r="L29" s="51">
        <v>20.0</v>
      </c>
      <c r="M29" s="50">
        <v>2500.0</v>
      </c>
      <c r="N29" s="51">
        <v>6000.0</v>
      </c>
      <c r="O29" s="51">
        <v>1.0</v>
      </c>
      <c r="P29" s="57">
        <v>2548.0</v>
      </c>
      <c r="Q29" s="38">
        <v>0.0</v>
      </c>
      <c r="R29" s="38">
        <v>0.0</v>
      </c>
      <c r="S29" s="38">
        <v>0.0</v>
      </c>
      <c r="T29" s="38">
        <f t="shared" si="3"/>
        <v>2548</v>
      </c>
      <c r="U29" s="39">
        <f t="shared" si="4"/>
        <v>46248</v>
      </c>
      <c r="V29" s="40">
        <f t="shared" si="5"/>
        <v>271514.88</v>
      </c>
      <c r="W29" s="42">
        <f t="shared" si="6"/>
        <v>23655.269</v>
      </c>
    </row>
    <row r="30" ht="15.75" customHeight="1">
      <c r="A30" s="44">
        <v>46034.0</v>
      </c>
      <c r="B30" s="49" t="s">
        <v>32</v>
      </c>
      <c r="C30" s="51" t="s">
        <v>99</v>
      </c>
      <c r="D30" s="51" t="s">
        <v>40</v>
      </c>
      <c r="E30" s="51" t="s">
        <v>99</v>
      </c>
      <c r="F30" s="51" t="s">
        <v>40</v>
      </c>
      <c r="G30" s="51" t="s">
        <v>13</v>
      </c>
      <c r="H30" s="45" t="s">
        <v>35</v>
      </c>
      <c r="I30" s="31">
        <f t="shared" si="1"/>
        <v>214</v>
      </c>
      <c r="J30" s="52">
        <v>99.4</v>
      </c>
      <c r="K30" s="34">
        <f t="shared" si="2"/>
        <v>108.1417534</v>
      </c>
      <c r="L30" s="51">
        <v>8.0</v>
      </c>
      <c r="M30" s="51">
        <v>2500.0</v>
      </c>
      <c r="N30" s="51">
        <v>12000.0</v>
      </c>
      <c r="O30" s="51">
        <v>9.0</v>
      </c>
      <c r="P30" s="57">
        <v>17280.0</v>
      </c>
      <c r="Q30" s="38">
        <v>0.0</v>
      </c>
      <c r="R30" s="38">
        <v>0.0</v>
      </c>
      <c r="S30" s="38">
        <v>0.0</v>
      </c>
      <c r="T30" s="38">
        <f t="shared" si="3"/>
        <v>17280</v>
      </c>
      <c r="U30" s="39">
        <f t="shared" si="4"/>
        <v>46248</v>
      </c>
      <c r="V30" s="40">
        <f t="shared" si="5"/>
        <v>1717632</v>
      </c>
      <c r="W30" s="42">
        <f t="shared" si="6"/>
        <v>151057.4992</v>
      </c>
    </row>
    <row r="31" ht="15.75" customHeight="1">
      <c r="A31" s="44">
        <v>45897.0</v>
      </c>
      <c r="B31" s="49" t="s">
        <v>32</v>
      </c>
      <c r="C31" s="46">
        <v>788.0</v>
      </c>
      <c r="D31" s="46" t="s">
        <v>40</v>
      </c>
      <c r="E31" s="46">
        <v>788.0</v>
      </c>
      <c r="F31" s="46" t="s">
        <v>40</v>
      </c>
      <c r="G31" s="46" t="s">
        <v>13</v>
      </c>
      <c r="H31" s="46" t="s">
        <v>35</v>
      </c>
      <c r="I31" s="31">
        <f t="shared" si="1"/>
        <v>351</v>
      </c>
      <c r="J31" s="48">
        <v>109.0</v>
      </c>
      <c r="K31" s="34">
        <f t="shared" si="2"/>
        <v>124.7228767</v>
      </c>
      <c r="L31" s="46">
        <v>40.0</v>
      </c>
      <c r="M31" s="46">
        <v>2000.0</v>
      </c>
      <c r="N31" s="46">
        <v>12000.0</v>
      </c>
      <c r="O31" s="46">
        <v>1.0</v>
      </c>
      <c r="P31" s="60">
        <v>7680.0</v>
      </c>
      <c r="Q31" s="38">
        <v>0.0</v>
      </c>
      <c r="R31" s="38">
        <v>0.0</v>
      </c>
      <c r="S31" s="38">
        <v>0.0</v>
      </c>
      <c r="T31" s="38">
        <f t="shared" si="3"/>
        <v>7680</v>
      </c>
      <c r="U31" s="39">
        <f t="shared" si="4"/>
        <v>46248</v>
      </c>
      <c r="V31" s="40">
        <f t="shared" si="5"/>
        <v>837120</v>
      </c>
      <c r="W31" s="42">
        <f t="shared" si="6"/>
        <v>120751.6932</v>
      </c>
    </row>
    <row r="32" ht="15.75" customHeight="1">
      <c r="A32" s="44">
        <v>46067.0</v>
      </c>
      <c r="B32" s="49" t="s">
        <v>32</v>
      </c>
      <c r="C32" s="46">
        <v>788.0</v>
      </c>
      <c r="D32" s="46" t="s">
        <v>55</v>
      </c>
      <c r="E32" s="46">
        <v>788.0</v>
      </c>
      <c r="F32" s="46" t="s">
        <v>49</v>
      </c>
      <c r="G32" s="46" t="s">
        <v>13</v>
      </c>
      <c r="H32" s="46" t="s">
        <v>101</v>
      </c>
      <c r="I32" s="31">
        <f t="shared" si="1"/>
        <v>181</v>
      </c>
      <c r="J32" s="52">
        <v>109.5</v>
      </c>
      <c r="K32" s="34">
        <f t="shared" si="2"/>
        <v>117.645</v>
      </c>
      <c r="L32" s="46">
        <v>55.0</v>
      </c>
      <c r="M32" s="46">
        <v>2500.0</v>
      </c>
      <c r="N32" s="46">
        <v>6000.0</v>
      </c>
      <c r="O32" s="46">
        <v>1.0</v>
      </c>
      <c r="P32" s="60">
        <v>6600.0</v>
      </c>
      <c r="Q32" s="38">
        <v>0.0</v>
      </c>
      <c r="R32" s="38">
        <v>0.0</v>
      </c>
      <c r="S32" s="38">
        <v>0.0</v>
      </c>
      <c r="T32" s="38">
        <f t="shared" si="3"/>
        <v>6600</v>
      </c>
      <c r="U32" s="39">
        <f t="shared" si="4"/>
        <v>46248</v>
      </c>
      <c r="V32" s="40">
        <f t="shared" si="5"/>
        <v>722700</v>
      </c>
      <c r="W32" s="42">
        <f t="shared" si="6"/>
        <v>53757</v>
      </c>
    </row>
    <row r="33" ht="15.75" customHeight="1">
      <c r="A33" s="44">
        <v>46069.0</v>
      </c>
      <c r="B33" s="49" t="s">
        <v>32</v>
      </c>
      <c r="C33" s="46">
        <v>788.0</v>
      </c>
      <c r="D33" s="46" t="s">
        <v>55</v>
      </c>
      <c r="E33" s="46">
        <v>788.0</v>
      </c>
      <c r="F33" s="46" t="s">
        <v>49</v>
      </c>
      <c r="G33" s="46" t="s">
        <v>13</v>
      </c>
      <c r="H33" s="46" t="s">
        <v>101</v>
      </c>
      <c r="I33" s="31">
        <f t="shared" si="1"/>
        <v>179</v>
      </c>
      <c r="J33" s="52">
        <v>109.5</v>
      </c>
      <c r="K33" s="34">
        <f t="shared" si="2"/>
        <v>117.555</v>
      </c>
      <c r="L33" s="46">
        <v>80.0</v>
      </c>
      <c r="M33" s="46">
        <v>2500.0</v>
      </c>
      <c r="N33" s="46">
        <v>6000.0</v>
      </c>
      <c r="O33" s="46">
        <v>1.0</v>
      </c>
      <c r="P33" s="60">
        <v>9588.0</v>
      </c>
      <c r="Q33" s="38">
        <v>0.0</v>
      </c>
      <c r="R33" s="38">
        <v>0.0</v>
      </c>
      <c r="S33" s="38">
        <v>0.0</v>
      </c>
      <c r="T33" s="38">
        <f t="shared" si="3"/>
        <v>9588</v>
      </c>
      <c r="U33" s="39">
        <f t="shared" si="4"/>
        <v>46248</v>
      </c>
      <c r="V33" s="40">
        <f t="shared" si="5"/>
        <v>1049886</v>
      </c>
      <c r="W33" s="42">
        <f t="shared" si="6"/>
        <v>77231.34</v>
      </c>
    </row>
    <row r="34" ht="15.75" customHeight="1">
      <c r="A34" s="44">
        <v>46161.0</v>
      </c>
      <c r="B34" s="49" t="s">
        <v>32</v>
      </c>
      <c r="C34" s="50">
        <v>788.0</v>
      </c>
      <c r="D34" s="51" t="s">
        <v>55</v>
      </c>
      <c r="E34" s="30">
        <v>788.0</v>
      </c>
      <c r="F34" s="50" t="s">
        <v>49</v>
      </c>
      <c r="G34" s="51" t="s">
        <v>56</v>
      </c>
      <c r="H34" s="49" t="s">
        <v>35</v>
      </c>
      <c r="I34" s="31">
        <f t="shared" si="1"/>
        <v>87</v>
      </c>
      <c r="J34" s="52">
        <v>108.0</v>
      </c>
      <c r="K34" s="34">
        <f t="shared" si="2"/>
        <v>111.8613699</v>
      </c>
      <c r="L34" s="51">
        <v>10.0</v>
      </c>
      <c r="M34" s="51">
        <v>2000.0</v>
      </c>
      <c r="N34" s="51">
        <v>12000.0</v>
      </c>
      <c r="O34" s="51">
        <v>1.0</v>
      </c>
      <c r="P34" s="53">
        <v>1952.0</v>
      </c>
      <c r="Q34" s="38">
        <v>0.0</v>
      </c>
      <c r="R34" s="38">
        <v>0.0</v>
      </c>
      <c r="S34" s="38">
        <v>0.0</v>
      </c>
      <c r="T34" s="38">
        <f t="shared" si="3"/>
        <v>1952</v>
      </c>
      <c r="U34" s="39">
        <f t="shared" si="4"/>
        <v>46248</v>
      </c>
      <c r="V34" s="40">
        <f t="shared" si="5"/>
        <v>210816</v>
      </c>
      <c r="W34" s="42">
        <f t="shared" si="6"/>
        <v>7537.393973</v>
      </c>
    </row>
    <row r="35" ht="15.75" customHeight="1">
      <c r="A35" s="44">
        <v>46073.0</v>
      </c>
      <c r="B35" s="49" t="s">
        <v>32</v>
      </c>
      <c r="C35" s="51">
        <v>788.0</v>
      </c>
      <c r="D35" s="51" t="s">
        <v>40</v>
      </c>
      <c r="E35" s="51">
        <v>788.0</v>
      </c>
      <c r="F35" s="51" t="s">
        <v>40</v>
      </c>
      <c r="G35" s="51" t="s">
        <v>13</v>
      </c>
      <c r="H35" s="45" t="s">
        <v>35</v>
      </c>
      <c r="I35" s="31">
        <f t="shared" si="1"/>
        <v>175</v>
      </c>
      <c r="J35" s="52">
        <v>96.3</v>
      </c>
      <c r="K35" s="34">
        <f t="shared" si="2"/>
        <v>103.2256849</v>
      </c>
      <c r="L35" s="51">
        <v>15.0</v>
      </c>
      <c r="M35" s="51">
        <v>2500.0</v>
      </c>
      <c r="N35" s="51">
        <v>6000.0</v>
      </c>
      <c r="O35" s="51">
        <v>7.0</v>
      </c>
      <c r="P35" s="57">
        <v>12670.0</v>
      </c>
      <c r="Q35" s="38">
        <v>0.0</v>
      </c>
      <c r="R35" s="38">
        <v>0.0</v>
      </c>
      <c r="S35" s="38">
        <v>0.0</v>
      </c>
      <c r="T35" s="38">
        <f t="shared" si="3"/>
        <v>12670</v>
      </c>
      <c r="U35" s="39">
        <f t="shared" si="4"/>
        <v>46248</v>
      </c>
      <c r="V35" s="40">
        <f t="shared" si="5"/>
        <v>1220121</v>
      </c>
      <c r="W35" s="42">
        <f t="shared" si="6"/>
        <v>87748.42808</v>
      </c>
    </row>
    <row r="36" ht="15.75" customHeight="1">
      <c r="A36" s="44">
        <v>46053.0</v>
      </c>
      <c r="B36" s="49" t="s">
        <v>32</v>
      </c>
      <c r="C36" s="51">
        <v>788.0</v>
      </c>
      <c r="D36" s="51" t="s">
        <v>55</v>
      </c>
      <c r="E36" s="51">
        <v>788.0</v>
      </c>
      <c r="F36" s="51" t="s">
        <v>49</v>
      </c>
      <c r="G36" s="51" t="s">
        <v>13</v>
      </c>
      <c r="H36" s="45" t="s">
        <v>35</v>
      </c>
      <c r="I36" s="31">
        <f t="shared" si="1"/>
        <v>195</v>
      </c>
      <c r="J36" s="52">
        <v>99.4</v>
      </c>
      <c r="K36" s="34">
        <f t="shared" si="2"/>
        <v>107.3656164</v>
      </c>
      <c r="L36" s="51">
        <v>10.0</v>
      </c>
      <c r="M36" s="51">
        <v>2500.0</v>
      </c>
      <c r="N36" s="51">
        <v>6000.0</v>
      </c>
      <c r="O36" s="51">
        <v>1.0</v>
      </c>
      <c r="P36" s="57">
        <v>1225.0</v>
      </c>
      <c r="Q36" s="38">
        <v>0.0</v>
      </c>
      <c r="R36" s="38">
        <v>0.0</v>
      </c>
      <c r="S36" s="38">
        <v>0.0</v>
      </c>
      <c r="T36" s="38">
        <f t="shared" si="3"/>
        <v>1225</v>
      </c>
      <c r="U36" s="39">
        <f t="shared" si="4"/>
        <v>46248</v>
      </c>
      <c r="V36" s="40">
        <f t="shared" si="5"/>
        <v>121765</v>
      </c>
      <c r="W36" s="42">
        <f t="shared" si="6"/>
        <v>9757.880137</v>
      </c>
    </row>
    <row r="37" ht="15.75" hidden="1" customHeight="1">
      <c r="A37" s="44">
        <v>46072.0</v>
      </c>
      <c r="B37" s="49" t="s">
        <v>32</v>
      </c>
      <c r="C37" s="46" t="s">
        <v>75</v>
      </c>
      <c r="D37" s="46" t="s">
        <v>40</v>
      </c>
      <c r="E37" s="46" t="s">
        <v>75</v>
      </c>
      <c r="F37" s="46" t="s">
        <v>40</v>
      </c>
      <c r="G37" s="46" t="s">
        <v>95</v>
      </c>
      <c r="H37" s="45" t="s">
        <v>76</v>
      </c>
      <c r="I37" s="31">
        <f t="shared" si="1"/>
        <v>176</v>
      </c>
      <c r="J37" s="52">
        <v>92.0</v>
      </c>
      <c r="K37" s="34">
        <f t="shared" si="2"/>
        <v>98.65424658</v>
      </c>
      <c r="L37" s="46">
        <v>8.0</v>
      </c>
      <c r="M37" s="46">
        <v>2000.0</v>
      </c>
      <c r="N37" s="46">
        <v>6000.0</v>
      </c>
      <c r="O37" s="46">
        <v>2.0</v>
      </c>
      <c r="P37" s="36">
        <v>1510.0</v>
      </c>
      <c r="Q37" s="38">
        <v>0.0</v>
      </c>
      <c r="R37" s="38">
        <v>0.0</v>
      </c>
      <c r="S37" s="38">
        <v>0.0</v>
      </c>
      <c r="T37" s="38">
        <f t="shared" si="3"/>
        <v>1510</v>
      </c>
      <c r="U37" s="39">
        <f t="shared" si="4"/>
        <v>46248</v>
      </c>
      <c r="V37" s="40">
        <f t="shared" si="5"/>
        <v>138920</v>
      </c>
      <c r="W37" s="42">
        <f t="shared" si="6"/>
        <v>10047.91233</v>
      </c>
    </row>
    <row r="38" ht="15.75" customHeight="1">
      <c r="A38" s="44">
        <v>46088.0</v>
      </c>
      <c r="B38" s="49" t="s">
        <v>32</v>
      </c>
      <c r="C38" s="51" t="s">
        <v>99</v>
      </c>
      <c r="D38" s="51" t="s">
        <v>40</v>
      </c>
      <c r="E38" s="51" t="s">
        <v>99</v>
      </c>
      <c r="F38" s="51" t="s">
        <v>40</v>
      </c>
      <c r="G38" s="51" t="s">
        <v>13</v>
      </c>
      <c r="H38" s="45" t="s">
        <v>35</v>
      </c>
      <c r="I38" s="31">
        <f t="shared" si="1"/>
        <v>160</v>
      </c>
      <c r="J38" s="52">
        <v>96.3</v>
      </c>
      <c r="K38" s="34">
        <f t="shared" si="2"/>
        <v>102.6320548</v>
      </c>
      <c r="L38" s="51">
        <v>15.0</v>
      </c>
      <c r="M38" s="51">
        <v>2500.0</v>
      </c>
      <c r="N38" s="51">
        <v>6000.0</v>
      </c>
      <c r="O38" s="51">
        <v>1.0</v>
      </c>
      <c r="P38" s="57">
        <v>1856.0</v>
      </c>
      <c r="Q38" s="38">
        <v>0.0</v>
      </c>
      <c r="R38" s="38">
        <v>0.0</v>
      </c>
      <c r="S38" s="38">
        <v>0.0</v>
      </c>
      <c r="T38" s="38">
        <f t="shared" si="3"/>
        <v>1856</v>
      </c>
      <c r="U38" s="39">
        <f t="shared" si="4"/>
        <v>46248</v>
      </c>
      <c r="V38" s="40">
        <f t="shared" si="5"/>
        <v>178732.8</v>
      </c>
      <c r="W38" s="42">
        <f t="shared" si="6"/>
        <v>11752.2937</v>
      </c>
    </row>
    <row r="39" ht="15.75" hidden="1" customHeight="1">
      <c r="A39" s="44">
        <v>46093.0</v>
      </c>
      <c r="B39" s="49" t="s">
        <v>32</v>
      </c>
      <c r="C39" s="51">
        <v>788.0</v>
      </c>
      <c r="D39" s="51" t="s">
        <v>105</v>
      </c>
      <c r="E39" s="51">
        <v>788.0</v>
      </c>
      <c r="F39" s="51" t="s">
        <v>35</v>
      </c>
      <c r="G39" s="51" t="s">
        <v>46</v>
      </c>
      <c r="H39" s="45" t="s">
        <v>35</v>
      </c>
      <c r="I39" s="31">
        <f t="shared" si="1"/>
        <v>155</v>
      </c>
      <c r="J39" s="52">
        <v>59.85</v>
      </c>
      <c r="K39" s="34">
        <f t="shared" si="2"/>
        <v>63.66236301</v>
      </c>
      <c r="L39" s="51">
        <v>6.0</v>
      </c>
      <c r="M39" s="51">
        <v>1500.0</v>
      </c>
      <c r="N39" s="51">
        <v>3000.0</v>
      </c>
      <c r="O39" s="51">
        <v>6.0</v>
      </c>
      <c r="P39" s="53">
        <v>1280.0</v>
      </c>
      <c r="Q39" s="38">
        <v>0.0</v>
      </c>
      <c r="R39" s="38">
        <v>0.0</v>
      </c>
      <c r="S39" s="38">
        <v>0.0</v>
      </c>
      <c r="T39" s="38">
        <f t="shared" si="3"/>
        <v>1280</v>
      </c>
      <c r="U39" s="39">
        <f t="shared" si="4"/>
        <v>46248</v>
      </c>
      <c r="V39" s="40">
        <f t="shared" si="5"/>
        <v>76608</v>
      </c>
      <c r="W39" s="42">
        <f t="shared" si="6"/>
        <v>4879.824658</v>
      </c>
    </row>
    <row r="40" ht="15.75" customHeight="1">
      <c r="A40" s="44">
        <v>46163.0</v>
      </c>
      <c r="B40" s="49" t="s">
        <v>32</v>
      </c>
      <c r="C40" s="46">
        <v>788.0</v>
      </c>
      <c r="D40" s="46" t="s">
        <v>55</v>
      </c>
      <c r="E40" s="46">
        <v>788.0</v>
      </c>
      <c r="F40" s="46" t="s">
        <v>49</v>
      </c>
      <c r="G40" s="46" t="s">
        <v>13</v>
      </c>
      <c r="H40" s="45" t="s">
        <v>35</v>
      </c>
      <c r="I40" s="31">
        <f t="shared" si="1"/>
        <v>85</v>
      </c>
      <c r="J40" s="52">
        <v>98.0</v>
      </c>
      <c r="K40" s="34">
        <f t="shared" si="2"/>
        <v>101.4232877</v>
      </c>
      <c r="L40" s="46">
        <v>12.0</v>
      </c>
      <c r="M40" s="46">
        <v>2500.0</v>
      </c>
      <c r="N40" s="46">
        <v>6000.0</v>
      </c>
      <c r="O40" s="46">
        <v>1.0</v>
      </c>
      <c r="P40" s="60">
        <v>1440.0</v>
      </c>
      <c r="Q40" s="38">
        <v>0.0</v>
      </c>
      <c r="R40" s="38">
        <v>0.0</v>
      </c>
      <c r="S40" s="38">
        <v>0.0</v>
      </c>
      <c r="T40" s="38">
        <f t="shared" si="3"/>
        <v>1440</v>
      </c>
      <c r="U40" s="39">
        <f t="shared" si="4"/>
        <v>46248</v>
      </c>
      <c r="V40" s="40">
        <f t="shared" si="5"/>
        <v>141120</v>
      </c>
      <c r="W40" s="42">
        <f t="shared" si="6"/>
        <v>4929.534247</v>
      </c>
    </row>
    <row r="41" ht="15.75" customHeight="1">
      <c r="A41" s="44">
        <v>46101.0</v>
      </c>
      <c r="B41" s="49" t="s">
        <v>32</v>
      </c>
      <c r="C41" s="51" t="s">
        <v>99</v>
      </c>
      <c r="D41" s="51" t="s">
        <v>40</v>
      </c>
      <c r="E41" s="51" t="s">
        <v>99</v>
      </c>
      <c r="F41" s="51" t="s">
        <v>40</v>
      </c>
      <c r="G41" s="51" t="s">
        <v>13</v>
      </c>
      <c r="H41" s="45" t="s">
        <v>76</v>
      </c>
      <c r="I41" s="31">
        <f t="shared" si="1"/>
        <v>147</v>
      </c>
      <c r="J41" s="52">
        <v>96.3</v>
      </c>
      <c r="K41" s="34">
        <f t="shared" si="2"/>
        <v>102.1175753</v>
      </c>
      <c r="L41" s="51">
        <v>15.0</v>
      </c>
      <c r="M41" s="51">
        <v>2500.0</v>
      </c>
      <c r="N41" s="51">
        <v>6000.0</v>
      </c>
      <c r="O41" s="51">
        <v>5.0</v>
      </c>
      <c r="P41" s="57">
        <v>9140.0</v>
      </c>
      <c r="Q41" s="38">
        <v>0.0</v>
      </c>
      <c r="R41" s="38">
        <v>0.0</v>
      </c>
      <c r="S41" s="38">
        <v>0.0</v>
      </c>
      <c r="T41" s="38">
        <f t="shared" si="3"/>
        <v>9140</v>
      </c>
      <c r="U41" s="39">
        <f t="shared" si="4"/>
        <v>46248</v>
      </c>
      <c r="V41" s="40">
        <f t="shared" si="5"/>
        <v>880182</v>
      </c>
      <c r="W41" s="42">
        <f t="shared" si="6"/>
        <v>53172.63863</v>
      </c>
    </row>
    <row r="42" ht="15.75" customHeight="1">
      <c r="A42" s="44">
        <v>46105.0</v>
      </c>
      <c r="B42" s="49" t="s">
        <v>32</v>
      </c>
      <c r="C42" s="51" t="s">
        <v>99</v>
      </c>
      <c r="D42" s="51" t="s">
        <v>40</v>
      </c>
      <c r="E42" s="51" t="s">
        <v>99</v>
      </c>
      <c r="F42" s="51" t="s">
        <v>40</v>
      </c>
      <c r="G42" s="51" t="s">
        <v>13</v>
      </c>
      <c r="H42" s="49" t="s">
        <v>35</v>
      </c>
      <c r="I42" s="31">
        <f t="shared" si="1"/>
        <v>143</v>
      </c>
      <c r="J42" s="52">
        <v>96.3</v>
      </c>
      <c r="K42" s="34">
        <f t="shared" si="2"/>
        <v>101.959274</v>
      </c>
      <c r="L42" s="51">
        <v>14.0</v>
      </c>
      <c r="M42" s="51">
        <v>2500.0</v>
      </c>
      <c r="N42" s="51">
        <v>6020.0</v>
      </c>
      <c r="O42" s="51">
        <v>8.0</v>
      </c>
      <c r="P42" s="57">
        <v>14160.0</v>
      </c>
      <c r="Q42" s="38">
        <v>0.0</v>
      </c>
      <c r="R42" s="38">
        <v>0.0</v>
      </c>
      <c r="S42" s="38">
        <v>0.0</v>
      </c>
      <c r="T42" s="38">
        <f t="shared" si="3"/>
        <v>14160</v>
      </c>
      <c r="U42" s="39">
        <f t="shared" si="4"/>
        <v>46248</v>
      </c>
      <c r="V42" s="40">
        <f t="shared" si="5"/>
        <v>1363608</v>
      </c>
      <c r="W42" s="42">
        <f t="shared" si="6"/>
        <v>80135.31945</v>
      </c>
    </row>
    <row r="43" ht="15.75" customHeight="1">
      <c r="A43" s="44">
        <v>46100.0</v>
      </c>
      <c r="B43" s="49" t="s">
        <v>32</v>
      </c>
      <c r="C43" s="51" t="s">
        <v>107</v>
      </c>
      <c r="D43" s="51" t="s">
        <v>108</v>
      </c>
      <c r="E43" s="51" t="s">
        <v>109</v>
      </c>
      <c r="F43" s="51" t="s">
        <v>110</v>
      </c>
      <c r="G43" s="51" t="s">
        <v>111</v>
      </c>
      <c r="H43" s="45" t="s">
        <v>35</v>
      </c>
      <c r="I43" s="31">
        <f t="shared" si="1"/>
        <v>148</v>
      </c>
      <c r="J43" s="52">
        <v>62.55</v>
      </c>
      <c r="K43" s="34">
        <f t="shared" si="2"/>
        <v>66.35441096</v>
      </c>
      <c r="L43" s="51">
        <v>8.0</v>
      </c>
      <c r="M43" s="51">
        <v>1500.0</v>
      </c>
      <c r="N43" s="51" t="s">
        <v>89</v>
      </c>
      <c r="O43" s="51">
        <v>0.0</v>
      </c>
      <c r="P43" s="53">
        <v>27090.0</v>
      </c>
      <c r="Q43" s="38">
        <v>0.0</v>
      </c>
      <c r="R43" s="38">
        <v>0.0</v>
      </c>
      <c r="S43" s="38">
        <v>0.0</v>
      </c>
      <c r="T43" s="38">
        <f t="shared" si="3"/>
        <v>27090</v>
      </c>
      <c r="U43" s="39">
        <f t="shared" si="4"/>
        <v>46248</v>
      </c>
      <c r="V43" s="40">
        <f t="shared" si="5"/>
        <v>1694479.5</v>
      </c>
      <c r="W43" s="42">
        <f t="shared" si="6"/>
        <v>103061.4929</v>
      </c>
    </row>
    <row r="44" ht="15.75" customHeight="1">
      <c r="A44" s="44">
        <v>46100.0</v>
      </c>
      <c r="B44" s="49" t="s">
        <v>32</v>
      </c>
      <c r="C44" s="51">
        <v>788.0</v>
      </c>
      <c r="D44" s="51" t="s">
        <v>108</v>
      </c>
      <c r="E44" s="51">
        <v>788.0</v>
      </c>
      <c r="F44" s="51" t="s">
        <v>110</v>
      </c>
      <c r="G44" s="51" t="s">
        <v>111</v>
      </c>
      <c r="H44" s="45" t="s">
        <v>35</v>
      </c>
      <c r="I44" s="31">
        <f t="shared" si="1"/>
        <v>148</v>
      </c>
      <c r="J44" s="52">
        <v>62.55</v>
      </c>
      <c r="K44" s="34">
        <f t="shared" si="2"/>
        <v>66.35441096</v>
      </c>
      <c r="L44" s="51">
        <v>8.0</v>
      </c>
      <c r="M44" s="51">
        <v>1500.0</v>
      </c>
      <c r="N44" s="51">
        <v>6300.0</v>
      </c>
      <c r="O44" s="51">
        <v>6.0</v>
      </c>
      <c r="P44" s="53">
        <v>3620.0</v>
      </c>
      <c r="Q44" s="38">
        <v>0.0</v>
      </c>
      <c r="R44" s="38">
        <v>0.0</v>
      </c>
      <c r="S44" s="38">
        <v>0.0</v>
      </c>
      <c r="T44" s="38">
        <f t="shared" si="3"/>
        <v>3620</v>
      </c>
      <c r="U44" s="39">
        <f t="shared" si="4"/>
        <v>46248</v>
      </c>
      <c r="V44" s="40">
        <f t="shared" si="5"/>
        <v>226431</v>
      </c>
      <c r="W44" s="42">
        <f t="shared" si="6"/>
        <v>13771.96767</v>
      </c>
    </row>
    <row r="45" ht="15.75" customHeight="1">
      <c r="A45" s="44">
        <v>46100.0</v>
      </c>
      <c r="B45" s="49" t="s">
        <v>32</v>
      </c>
      <c r="C45" s="51">
        <v>788.0</v>
      </c>
      <c r="D45" s="51" t="s">
        <v>108</v>
      </c>
      <c r="E45" s="51">
        <v>788.0</v>
      </c>
      <c r="F45" s="51" t="s">
        <v>110</v>
      </c>
      <c r="G45" s="51" t="s">
        <v>111</v>
      </c>
      <c r="H45" s="45" t="s">
        <v>35</v>
      </c>
      <c r="I45" s="31">
        <f t="shared" si="1"/>
        <v>148</v>
      </c>
      <c r="J45" s="52">
        <v>62.55</v>
      </c>
      <c r="K45" s="34">
        <f t="shared" si="2"/>
        <v>66.35441096</v>
      </c>
      <c r="L45" s="51">
        <v>8.0</v>
      </c>
      <c r="M45" s="51">
        <v>1500.0</v>
      </c>
      <c r="N45" s="51">
        <v>6300.0</v>
      </c>
      <c r="O45" s="51">
        <v>4.0</v>
      </c>
      <c r="P45" s="53">
        <v>1010.0</v>
      </c>
      <c r="Q45" s="38">
        <v>0.0</v>
      </c>
      <c r="R45" s="38">
        <v>0.0</v>
      </c>
      <c r="S45" s="38">
        <v>0.0</v>
      </c>
      <c r="T45" s="38">
        <f t="shared" si="3"/>
        <v>1010</v>
      </c>
      <c r="U45" s="39">
        <f t="shared" si="4"/>
        <v>46248</v>
      </c>
      <c r="V45" s="40">
        <f t="shared" si="5"/>
        <v>63175.5</v>
      </c>
      <c r="W45" s="42">
        <f t="shared" si="6"/>
        <v>3842.455068</v>
      </c>
    </row>
    <row r="46" ht="15.75" customHeight="1">
      <c r="A46" s="44">
        <v>46100.0</v>
      </c>
      <c r="B46" s="49" t="s">
        <v>32</v>
      </c>
      <c r="C46" s="51" t="s">
        <v>112</v>
      </c>
      <c r="D46" s="51" t="s">
        <v>108</v>
      </c>
      <c r="E46" s="51" t="s">
        <v>113</v>
      </c>
      <c r="F46" s="51" t="s">
        <v>110</v>
      </c>
      <c r="G46" s="51" t="s">
        <v>114</v>
      </c>
      <c r="H46" s="45" t="s">
        <v>115</v>
      </c>
      <c r="I46" s="31">
        <f t="shared" si="1"/>
        <v>148</v>
      </c>
      <c r="J46" s="52">
        <v>64.5</v>
      </c>
      <c r="K46" s="34">
        <f t="shared" si="2"/>
        <v>68.4230137</v>
      </c>
      <c r="L46" s="51">
        <v>6.0</v>
      </c>
      <c r="M46" s="51">
        <v>1250.0</v>
      </c>
      <c r="N46" s="51" t="s">
        <v>89</v>
      </c>
      <c r="O46" s="51">
        <v>0.0</v>
      </c>
      <c r="P46" s="53">
        <v>26480.0</v>
      </c>
      <c r="Q46" s="38">
        <v>0.0</v>
      </c>
      <c r="R46" s="38">
        <v>0.0</v>
      </c>
      <c r="S46" s="38">
        <v>0.0</v>
      </c>
      <c r="T46" s="38">
        <f t="shared" si="3"/>
        <v>26480</v>
      </c>
      <c r="U46" s="39">
        <f t="shared" si="4"/>
        <v>46248</v>
      </c>
      <c r="V46" s="40">
        <f t="shared" si="5"/>
        <v>1707960</v>
      </c>
      <c r="W46" s="42">
        <f t="shared" si="6"/>
        <v>103881.4027</v>
      </c>
    </row>
    <row r="47" ht="15.75" customHeight="1">
      <c r="A47" s="44">
        <v>46105.0</v>
      </c>
      <c r="B47" s="45" t="s">
        <v>38</v>
      </c>
      <c r="C47" s="46" t="s">
        <v>116</v>
      </c>
      <c r="D47" s="46" t="s">
        <v>39</v>
      </c>
      <c r="E47" s="46" t="s">
        <v>116</v>
      </c>
      <c r="F47" s="46" t="s">
        <v>40</v>
      </c>
      <c r="G47" s="46" t="s">
        <v>117</v>
      </c>
      <c r="H47" s="30" t="s">
        <v>35</v>
      </c>
      <c r="I47" s="31">
        <f t="shared" si="1"/>
        <v>143</v>
      </c>
      <c r="J47" s="48">
        <v>55.0</v>
      </c>
      <c r="K47" s="34">
        <f t="shared" si="2"/>
        <v>58.23219178</v>
      </c>
      <c r="L47" s="46">
        <v>100.0</v>
      </c>
      <c r="M47" s="46">
        <v>100.0</v>
      </c>
      <c r="N47" s="46">
        <v>6000.0</v>
      </c>
      <c r="O47" s="46">
        <v>0.0</v>
      </c>
      <c r="P47" s="36">
        <v>3160.0</v>
      </c>
      <c r="Q47" s="38">
        <v>0.0</v>
      </c>
      <c r="R47" s="38">
        <v>0.0</v>
      </c>
      <c r="S47" s="38">
        <v>0.0</v>
      </c>
      <c r="T47" s="38">
        <f t="shared" si="3"/>
        <v>3160</v>
      </c>
      <c r="U47" s="39">
        <f t="shared" si="4"/>
        <v>46248</v>
      </c>
      <c r="V47" s="40">
        <f t="shared" si="5"/>
        <v>173800</v>
      </c>
      <c r="W47" s="42">
        <f t="shared" si="6"/>
        <v>10213.72603</v>
      </c>
    </row>
    <row r="48" ht="15.75" customHeight="1">
      <c r="A48" s="44">
        <v>46105.0</v>
      </c>
      <c r="B48" s="45" t="s">
        <v>38</v>
      </c>
      <c r="C48" s="46" t="s">
        <v>116</v>
      </c>
      <c r="D48" s="46" t="s">
        <v>39</v>
      </c>
      <c r="E48" s="46" t="s">
        <v>116</v>
      </c>
      <c r="F48" s="46" t="s">
        <v>40</v>
      </c>
      <c r="G48" s="46" t="s">
        <v>117</v>
      </c>
      <c r="H48" s="30" t="s">
        <v>35</v>
      </c>
      <c r="I48" s="31">
        <f t="shared" si="1"/>
        <v>143</v>
      </c>
      <c r="J48" s="48">
        <v>57.33</v>
      </c>
      <c r="K48" s="34">
        <f t="shared" si="2"/>
        <v>60.69911918</v>
      </c>
      <c r="L48" s="46">
        <v>150.0</v>
      </c>
      <c r="M48" s="46">
        <v>150.0</v>
      </c>
      <c r="N48" s="46">
        <v>6000.0</v>
      </c>
      <c r="O48" s="46">
        <v>0.0</v>
      </c>
      <c r="P48" s="36">
        <v>1539.0</v>
      </c>
      <c r="Q48" s="38">
        <v>0.0</v>
      </c>
      <c r="R48" s="38">
        <v>0.0</v>
      </c>
      <c r="S48" s="38">
        <v>0.0</v>
      </c>
      <c r="T48" s="38">
        <f t="shared" si="3"/>
        <v>1539</v>
      </c>
      <c r="U48" s="39">
        <f t="shared" si="4"/>
        <v>46248</v>
      </c>
      <c r="V48" s="40">
        <f t="shared" si="5"/>
        <v>88230.87</v>
      </c>
      <c r="W48" s="42">
        <f t="shared" si="6"/>
        <v>5185.074415</v>
      </c>
    </row>
    <row r="49" ht="15.75" customHeight="1">
      <c r="A49" s="44">
        <v>46105.0</v>
      </c>
      <c r="B49" s="45" t="s">
        <v>38</v>
      </c>
      <c r="C49" s="46" t="s">
        <v>116</v>
      </c>
      <c r="D49" s="46" t="s">
        <v>39</v>
      </c>
      <c r="E49" s="46" t="s">
        <v>116</v>
      </c>
      <c r="F49" s="46" t="s">
        <v>40</v>
      </c>
      <c r="G49" s="46" t="s">
        <v>117</v>
      </c>
      <c r="H49" s="30" t="s">
        <v>35</v>
      </c>
      <c r="I49" s="31">
        <f t="shared" si="1"/>
        <v>143</v>
      </c>
      <c r="J49" s="48">
        <v>57.33</v>
      </c>
      <c r="K49" s="34">
        <f t="shared" si="2"/>
        <v>60.69911918</v>
      </c>
      <c r="L49" s="46">
        <v>200.0</v>
      </c>
      <c r="M49" s="46">
        <v>100.0</v>
      </c>
      <c r="N49" s="46">
        <v>6000.0</v>
      </c>
      <c r="O49" s="46">
        <v>0.0</v>
      </c>
      <c r="P49" s="36">
        <v>12819.0</v>
      </c>
      <c r="Q49" s="38">
        <v>0.0</v>
      </c>
      <c r="R49" s="38">
        <v>0.0</v>
      </c>
      <c r="S49" s="38">
        <v>0.0</v>
      </c>
      <c r="T49" s="38">
        <f t="shared" si="3"/>
        <v>12819</v>
      </c>
      <c r="U49" s="39">
        <f t="shared" si="4"/>
        <v>46248</v>
      </c>
      <c r="V49" s="40">
        <f t="shared" si="5"/>
        <v>734913.27</v>
      </c>
      <c r="W49" s="42">
        <f t="shared" si="6"/>
        <v>43188.73874</v>
      </c>
    </row>
    <row r="50" ht="15.75" customHeight="1">
      <c r="A50" s="44">
        <v>46114.0</v>
      </c>
      <c r="B50" s="49" t="s">
        <v>32</v>
      </c>
      <c r="C50" s="51">
        <v>788.0</v>
      </c>
      <c r="D50" s="51" t="s">
        <v>120</v>
      </c>
      <c r="E50" s="51">
        <v>788.0</v>
      </c>
      <c r="F50" s="51" t="s">
        <v>110</v>
      </c>
      <c r="G50" s="51" t="s">
        <v>114</v>
      </c>
      <c r="H50" s="49" t="s">
        <v>35</v>
      </c>
      <c r="I50" s="31">
        <f t="shared" si="1"/>
        <v>134</v>
      </c>
      <c r="J50" s="52">
        <v>70.0</v>
      </c>
      <c r="K50" s="34">
        <f t="shared" si="2"/>
        <v>73.85479452</v>
      </c>
      <c r="L50" s="51">
        <v>6.0</v>
      </c>
      <c r="M50" s="51">
        <v>1500.0</v>
      </c>
      <c r="N50" s="51">
        <v>6300.0</v>
      </c>
      <c r="O50" s="51" t="s">
        <v>121</v>
      </c>
      <c r="P50" s="53">
        <v>15640.0</v>
      </c>
      <c r="Q50" s="38">
        <v>0.0</v>
      </c>
      <c r="R50" s="38">
        <v>0.0</v>
      </c>
      <c r="S50" s="38">
        <v>0.0</v>
      </c>
      <c r="T50" s="38">
        <f t="shared" si="3"/>
        <v>15640</v>
      </c>
      <c r="U50" s="39">
        <f t="shared" si="4"/>
        <v>46248</v>
      </c>
      <c r="V50" s="40">
        <f t="shared" si="5"/>
        <v>1094800</v>
      </c>
      <c r="W50" s="42">
        <f t="shared" si="6"/>
        <v>60288.9863</v>
      </c>
    </row>
    <row r="51" ht="15.75" hidden="1" customHeight="1">
      <c r="A51" s="44">
        <v>46215.0</v>
      </c>
      <c r="B51" s="49" t="s">
        <v>32</v>
      </c>
      <c r="C51" s="51">
        <v>788.0</v>
      </c>
      <c r="D51" s="51" t="s">
        <v>122</v>
      </c>
      <c r="E51" s="46">
        <v>788.0</v>
      </c>
      <c r="F51" s="51" t="s">
        <v>123</v>
      </c>
      <c r="G51" s="51" t="s">
        <v>46</v>
      </c>
      <c r="H51" s="49" t="s">
        <v>35</v>
      </c>
      <c r="I51" s="31">
        <f t="shared" si="1"/>
        <v>33</v>
      </c>
      <c r="J51" s="52">
        <v>71.25</v>
      </c>
      <c r="K51" s="34">
        <f t="shared" si="2"/>
        <v>72.21626712</v>
      </c>
      <c r="L51" s="51">
        <v>50.0</v>
      </c>
      <c r="M51" s="51">
        <v>2500.0</v>
      </c>
      <c r="N51" s="51">
        <v>5850.0</v>
      </c>
      <c r="O51" s="51">
        <v>1.0</v>
      </c>
      <c r="P51" s="57">
        <v>6150.0</v>
      </c>
      <c r="Q51" s="38">
        <v>0.0</v>
      </c>
      <c r="R51" s="38">
        <v>0.0</v>
      </c>
      <c r="S51" s="38">
        <v>0.0</v>
      </c>
      <c r="T51" s="38">
        <f t="shared" si="3"/>
        <v>6150</v>
      </c>
      <c r="U51" s="39">
        <f t="shared" si="4"/>
        <v>46248</v>
      </c>
      <c r="V51" s="40">
        <f t="shared" si="5"/>
        <v>438187.5</v>
      </c>
      <c r="W51" s="42">
        <f t="shared" si="6"/>
        <v>5942.542808</v>
      </c>
    </row>
    <row r="52" ht="15.75" customHeight="1">
      <c r="A52" s="44">
        <v>46111.0</v>
      </c>
      <c r="B52" s="49" t="s">
        <v>32</v>
      </c>
      <c r="C52" s="51">
        <v>788.0</v>
      </c>
      <c r="D52" s="51" t="s">
        <v>105</v>
      </c>
      <c r="E52" s="51">
        <v>788.0</v>
      </c>
      <c r="F52" s="51" t="s">
        <v>49</v>
      </c>
      <c r="G52" s="51" t="s">
        <v>124</v>
      </c>
      <c r="H52" s="49" t="s">
        <v>35</v>
      </c>
      <c r="I52" s="31">
        <f t="shared" si="1"/>
        <v>137</v>
      </c>
      <c r="J52" s="52">
        <v>59.75</v>
      </c>
      <c r="K52" s="34">
        <f t="shared" si="2"/>
        <v>63.11400685</v>
      </c>
      <c r="L52" s="51">
        <v>16.0</v>
      </c>
      <c r="M52" s="51">
        <v>1500.0</v>
      </c>
      <c r="N52" s="51">
        <v>2300.0</v>
      </c>
      <c r="O52" s="51">
        <v>1.0</v>
      </c>
      <c r="P52" s="53">
        <v>440.0</v>
      </c>
      <c r="Q52" s="38">
        <v>0.0</v>
      </c>
      <c r="R52" s="38">
        <v>0.0</v>
      </c>
      <c r="S52" s="38">
        <v>0.0</v>
      </c>
      <c r="T52" s="38">
        <f t="shared" si="3"/>
        <v>440</v>
      </c>
      <c r="U52" s="39">
        <f t="shared" si="4"/>
        <v>46248</v>
      </c>
      <c r="V52" s="40">
        <f t="shared" si="5"/>
        <v>26290</v>
      </c>
      <c r="W52" s="42">
        <f t="shared" si="6"/>
        <v>1480.163014</v>
      </c>
    </row>
    <row r="53" ht="15.75" customHeight="1">
      <c r="A53" s="44">
        <v>46111.0</v>
      </c>
      <c r="B53" s="49" t="s">
        <v>32</v>
      </c>
      <c r="C53" s="51" t="s">
        <v>112</v>
      </c>
      <c r="D53" s="51" t="s">
        <v>108</v>
      </c>
      <c r="E53" s="51" t="s">
        <v>113</v>
      </c>
      <c r="F53" s="51" t="s">
        <v>110</v>
      </c>
      <c r="G53" s="51" t="s">
        <v>114</v>
      </c>
      <c r="H53" s="49" t="s">
        <v>35</v>
      </c>
      <c r="I53" s="31">
        <f t="shared" si="1"/>
        <v>137</v>
      </c>
      <c r="J53" s="52">
        <v>65.5</v>
      </c>
      <c r="K53" s="34">
        <f t="shared" si="2"/>
        <v>69.18773973</v>
      </c>
      <c r="L53" s="51">
        <v>6.0</v>
      </c>
      <c r="M53" s="51">
        <v>1500.0</v>
      </c>
      <c r="N53" s="51" t="s">
        <v>89</v>
      </c>
      <c r="O53" s="51">
        <v>0.0</v>
      </c>
      <c r="P53" s="53">
        <v>390.0</v>
      </c>
      <c r="Q53" s="38">
        <v>0.0</v>
      </c>
      <c r="R53" s="38">
        <v>0.0</v>
      </c>
      <c r="S53" s="38">
        <v>0.0</v>
      </c>
      <c r="T53" s="38">
        <f t="shared" si="3"/>
        <v>390</v>
      </c>
      <c r="U53" s="39">
        <f t="shared" si="4"/>
        <v>46248</v>
      </c>
      <c r="V53" s="40">
        <f t="shared" si="5"/>
        <v>25545</v>
      </c>
      <c r="W53" s="42">
        <f t="shared" si="6"/>
        <v>1438.218493</v>
      </c>
    </row>
    <row r="54" ht="15.75" hidden="1" customHeight="1">
      <c r="A54" s="44">
        <v>46118.0</v>
      </c>
      <c r="B54" s="49" t="s">
        <v>32</v>
      </c>
      <c r="C54" s="51">
        <v>788.0</v>
      </c>
      <c r="D54" s="51" t="s">
        <v>93</v>
      </c>
      <c r="E54" s="51">
        <v>788.0</v>
      </c>
      <c r="F54" s="51" t="s">
        <v>110</v>
      </c>
      <c r="G54" s="51" t="s">
        <v>72</v>
      </c>
      <c r="H54" s="49" t="s">
        <v>35</v>
      </c>
      <c r="I54" s="31">
        <f t="shared" si="1"/>
        <v>130</v>
      </c>
      <c r="J54" s="52">
        <v>59.07</v>
      </c>
      <c r="K54" s="34">
        <f t="shared" si="2"/>
        <v>62.22579452</v>
      </c>
      <c r="L54" s="51">
        <v>4.0</v>
      </c>
      <c r="M54" s="51">
        <v>1250.0</v>
      </c>
      <c r="N54" s="51">
        <v>2500.0</v>
      </c>
      <c r="O54" s="51">
        <v>0.0</v>
      </c>
      <c r="P54" s="53">
        <v>260.0</v>
      </c>
      <c r="Q54" s="38">
        <v>0.0</v>
      </c>
      <c r="R54" s="38">
        <v>0.0</v>
      </c>
      <c r="S54" s="38">
        <v>0.0</v>
      </c>
      <c r="T54" s="38">
        <f t="shared" si="3"/>
        <v>260</v>
      </c>
      <c r="U54" s="39">
        <f t="shared" si="4"/>
        <v>46248</v>
      </c>
      <c r="V54" s="40">
        <f t="shared" si="5"/>
        <v>15358.2</v>
      </c>
      <c r="W54" s="42">
        <f t="shared" si="6"/>
        <v>820.5065753</v>
      </c>
    </row>
    <row r="55" ht="15.75" hidden="1" customHeight="1">
      <c r="A55" s="44">
        <v>46120.0</v>
      </c>
      <c r="B55" s="49" t="s">
        <v>32</v>
      </c>
      <c r="C55" s="51">
        <v>788.0</v>
      </c>
      <c r="D55" s="51" t="s">
        <v>125</v>
      </c>
      <c r="E55" s="51">
        <v>788.0</v>
      </c>
      <c r="F55" s="51" t="s">
        <v>35</v>
      </c>
      <c r="G55" s="51" t="s">
        <v>72</v>
      </c>
      <c r="H55" s="49" t="s">
        <v>35</v>
      </c>
      <c r="I55" s="31">
        <f t="shared" si="1"/>
        <v>128</v>
      </c>
      <c r="J55" s="52">
        <v>58.5</v>
      </c>
      <c r="K55" s="34">
        <f t="shared" si="2"/>
        <v>61.57726027</v>
      </c>
      <c r="L55" s="51">
        <v>4.0</v>
      </c>
      <c r="M55" s="51">
        <v>1250.0</v>
      </c>
      <c r="N55" s="51">
        <v>2500.0</v>
      </c>
      <c r="O55" s="51" t="s">
        <v>126</v>
      </c>
      <c r="P55" s="53">
        <v>1140.0</v>
      </c>
      <c r="Q55" s="38">
        <v>0.0</v>
      </c>
      <c r="R55" s="38">
        <v>0.0</v>
      </c>
      <c r="S55" s="38">
        <v>0.0</v>
      </c>
      <c r="T55" s="38">
        <f t="shared" si="3"/>
        <v>1140</v>
      </c>
      <c r="U55" s="39">
        <f t="shared" si="4"/>
        <v>46248</v>
      </c>
      <c r="V55" s="40">
        <f t="shared" si="5"/>
        <v>66690</v>
      </c>
      <c r="W55" s="42">
        <f t="shared" si="6"/>
        <v>3508.076712</v>
      </c>
    </row>
    <row r="56" ht="15.75" customHeight="1">
      <c r="A56" s="44">
        <v>46195.0</v>
      </c>
      <c r="B56" s="49" t="s">
        <v>32</v>
      </c>
      <c r="C56" s="51">
        <v>788.0</v>
      </c>
      <c r="D56" s="51" t="s">
        <v>127</v>
      </c>
      <c r="E56" s="51">
        <v>788.0</v>
      </c>
      <c r="F56" s="51" t="s">
        <v>35</v>
      </c>
      <c r="G56" s="51" t="s">
        <v>36</v>
      </c>
      <c r="H56" s="45" t="s">
        <v>128</v>
      </c>
      <c r="I56" s="31">
        <f t="shared" si="1"/>
        <v>53</v>
      </c>
      <c r="J56" s="52">
        <v>110.0</v>
      </c>
      <c r="K56" s="34">
        <f t="shared" si="2"/>
        <v>112.3958904</v>
      </c>
      <c r="L56" s="51">
        <v>6.0</v>
      </c>
      <c r="M56" s="51">
        <v>2000.0</v>
      </c>
      <c r="N56" s="51">
        <v>6000.0</v>
      </c>
      <c r="O56" s="51">
        <v>4.0</v>
      </c>
      <c r="P56" s="53">
        <v>1970.0</v>
      </c>
      <c r="Q56" s="38">
        <v>0.0</v>
      </c>
      <c r="R56" s="38">
        <v>0.0</v>
      </c>
      <c r="S56" s="38">
        <v>0.0</v>
      </c>
      <c r="T56" s="38">
        <f t="shared" si="3"/>
        <v>1970</v>
      </c>
      <c r="U56" s="39">
        <f t="shared" si="4"/>
        <v>46248</v>
      </c>
      <c r="V56" s="40">
        <f t="shared" si="5"/>
        <v>216700</v>
      </c>
      <c r="W56" s="42">
        <f t="shared" si="6"/>
        <v>4719.90411</v>
      </c>
    </row>
    <row r="57" ht="15.75" customHeight="1">
      <c r="A57" s="44">
        <v>46152.0</v>
      </c>
      <c r="B57" s="49" t="s">
        <v>32</v>
      </c>
      <c r="C57" s="46" t="s">
        <v>99</v>
      </c>
      <c r="D57" s="46" t="s">
        <v>40</v>
      </c>
      <c r="E57" s="46" t="s">
        <v>99</v>
      </c>
      <c r="F57" s="46" t="s">
        <v>40</v>
      </c>
      <c r="G57" s="46" t="s">
        <v>13</v>
      </c>
      <c r="H57" s="45" t="s">
        <v>35</v>
      </c>
      <c r="I57" s="31">
        <f t="shared" si="1"/>
        <v>96</v>
      </c>
      <c r="J57" s="52">
        <v>97.3</v>
      </c>
      <c r="K57" s="34">
        <f t="shared" si="2"/>
        <v>101.1386849</v>
      </c>
      <c r="L57" s="46">
        <v>10.0</v>
      </c>
      <c r="M57" s="46">
        <v>2500.0</v>
      </c>
      <c r="N57" s="46">
        <v>6000.0</v>
      </c>
      <c r="O57" s="46">
        <v>8.0</v>
      </c>
      <c r="P57" s="60">
        <v>10000.0</v>
      </c>
      <c r="Q57" s="38">
        <v>0.0</v>
      </c>
      <c r="R57" s="38">
        <v>0.0</v>
      </c>
      <c r="S57" s="38">
        <v>0.0</v>
      </c>
      <c r="T57" s="38">
        <f t="shared" si="3"/>
        <v>10000</v>
      </c>
      <c r="U57" s="39">
        <f t="shared" si="4"/>
        <v>46248</v>
      </c>
      <c r="V57" s="40">
        <f t="shared" si="5"/>
        <v>973000</v>
      </c>
      <c r="W57" s="42">
        <f t="shared" si="6"/>
        <v>38386.84932</v>
      </c>
    </row>
    <row r="58" ht="15.75" customHeight="1">
      <c r="A58" s="44">
        <v>46120.0</v>
      </c>
      <c r="B58" s="49" t="s">
        <v>32</v>
      </c>
      <c r="C58" s="46" t="s">
        <v>99</v>
      </c>
      <c r="D58" s="46" t="s">
        <v>40</v>
      </c>
      <c r="E58" s="46" t="s">
        <v>99</v>
      </c>
      <c r="F58" s="46" t="s">
        <v>40</v>
      </c>
      <c r="G58" s="46" t="s">
        <v>13</v>
      </c>
      <c r="H58" s="45" t="s">
        <v>35</v>
      </c>
      <c r="I58" s="31">
        <f t="shared" si="1"/>
        <v>128</v>
      </c>
      <c r="J58" s="52">
        <v>96.3</v>
      </c>
      <c r="K58" s="34">
        <f t="shared" si="2"/>
        <v>101.3656438</v>
      </c>
      <c r="L58" s="46">
        <v>12.0</v>
      </c>
      <c r="M58" s="46">
        <v>2500.0</v>
      </c>
      <c r="N58" s="46">
        <v>6000.0</v>
      </c>
      <c r="O58" s="46">
        <v>2.0</v>
      </c>
      <c r="P58" s="60">
        <v>2800.0</v>
      </c>
      <c r="Q58" s="38">
        <v>0.0</v>
      </c>
      <c r="R58" s="38">
        <v>0.0</v>
      </c>
      <c r="S58" s="38">
        <v>0.0</v>
      </c>
      <c r="T58" s="38">
        <f t="shared" si="3"/>
        <v>2800</v>
      </c>
      <c r="U58" s="39">
        <f t="shared" si="4"/>
        <v>46248</v>
      </c>
      <c r="V58" s="40">
        <f t="shared" si="5"/>
        <v>269640</v>
      </c>
      <c r="W58" s="42">
        <f t="shared" si="6"/>
        <v>14183.80274</v>
      </c>
    </row>
    <row r="59" ht="15.75" hidden="1" customHeight="1">
      <c r="A59" s="44">
        <v>46117.0</v>
      </c>
      <c r="B59" s="49" t="s">
        <v>32</v>
      </c>
      <c r="C59" s="46" t="s">
        <v>75</v>
      </c>
      <c r="D59" s="46" t="s">
        <v>40</v>
      </c>
      <c r="E59" s="46" t="s">
        <v>75</v>
      </c>
      <c r="F59" s="46" t="s">
        <v>40</v>
      </c>
      <c r="G59" s="46" t="s">
        <v>129</v>
      </c>
      <c r="H59" s="45" t="s">
        <v>76</v>
      </c>
      <c r="I59" s="31">
        <f t="shared" si="1"/>
        <v>131</v>
      </c>
      <c r="J59" s="52">
        <v>63.25</v>
      </c>
      <c r="K59" s="34">
        <f t="shared" si="2"/>
        <v>66.65510274</v>
      </c>
      <c r="L59" s="46">
        <v>40.0</v>
      </c>
      <c r="M59" s="46">
        <v>2500.0</v>
      </c>
      <c r="N59" s="46">
        <v>6000.0</v>
      </c>
      <c r="O59" s="46">
        <v>3.0</v>
      </c>
      <c r="P59" s="36">
        <v>14070.0</v>
      </c>
      <c r="Q59" s="38">
        <v>0.0</v>
      </c>
      <c r="R59" s="38">
        <v>0.0</v>
      </c>
      <c r="S59" s="38">
        <v>0.0</v>
      </c>
      <c r="T59" s="38">
        <f t="shared" si="3"/>
        <v>14070</v>
      </c>
      <c r="U59" s="39">
        <f t="shared" si="4"/>
        <v>46248</v>
      </c>
      <c r="V59" s="40">
        <f t="shared" si="5"/>
        <v>889927.5</v>
      </c>
      <c r="W59" s="42">
        <f t="shared" si="6"/>
        <v>47909.79555</v>
      </c>
    </row>
    <row r="60" ht="15.75" hidden="1" customHeight="1">
      <c r="A60" s="44">
        <v>46126.0</v>
      </c>
      <c r="B60" s="49" t="s">
        <v>32</v>
      </c>
      <c r="C60" s="46" t="s">
        <v>75</v>
      </c>
      <c r="D60" s="46" t="s">
        <v>40</v>
      </c>
      <c r="E60" s="46" t="s">
        <v>75</v>
      </c>
      <c r="F60" s="46" t="s">
        <v>40</v>
      </c>
      <c r="G60" s="46" t="s">
        <v>130</v>
      </c>
      <c r="H60" s="45" t="s">
        <v>76</v>
      </c>
      <c r="I60" s="31">
        <f t="shared" si="1"/>
        <v>122</v>
      </c>
      <c r="J60" s="52">
        <v>99.8</v>
      </c>
      <c r="K60" s="34">
        <f t="shared" si="2"/>
        <v>104.8036712</v>
      </c>
      <c r="L60" s="46">
        <v>8.0</v>
      </c>
      <c r="M60" s="46">
        <v>2000.0</v>
      </c>
      <c r="N60" s="46">
        <v>6000.0</v>
      </c>
      <c r="O60" s="46">
        <v>10.0</v>
      </c>
      <c r="P60" s="36">
        <v>8000.0</v>
      </c>
      <c r="Q60" s="38">
        <v>0.0</v>
      </c>
      <c r="R60" s="38">
        <v>0.0</v>
      </c>
      <c r="S60" s="38">
        <v>0.0</v>
      </c>
      <c r="T60" s="38">
        <f t="shared" si="3"/>
        <v>8000</v>
      </c>
      <c r="U60" s="39">
        <f t="shared" si="4"/>
        <v>46248</v>
      </c>
      <c r="V60" s="40">
        <f t="shared" si="5"/>
        <v>798400</v>
      </c>
      <c r="W60" s="42">
        <f t="shared" si="6"/>
        <v>40029.36986</v>
      </c>
    </row>
    <row r="61" ht="15.75" customHeight="1">
      <c r="A61" s="44">
        <v>46176.0</v>
      </c>
      <c r="B61" s="49" t="s">
        <v>32</v>
      </c>
      <c r="C61" s="46">
        <v>788.0</v>
      </c>
      <c r="D61" s="46" t="s">
        <v>40</v>
      </c>
      <c r="E61" s="46">
        <v>788.0</v>
      </c>
      <c r="F61" s="46" t="s">
        <v>40</v>
      </c>
      <c r="G61" s="46" t="s">
        <v>13</v>
      </c>
      <c r="H61" s="45" t="s">
        <v>35</v>
      </c>
      <c r="I61" s="31">
        <f t="shared" si="1"/>
        <v>72</v>
      </c>
      <c r="J61" s="52">
        <v>96.8</v>
      </c>
      <c r="K61" s="34">
        <f t="shared" si="2"/>
        <v>99.66421918</v>
      </c>
      <c r="L61" s="46">
        <v>25.0</v>
      </c>
      <c r="M61" s="46">
        <v>2500.0</v>
      </c>
      <c r="N61" s="46">
        <v>6000.0</v>
      </c>
      <c r="O61" s="46">
        <v>9.0</v>
      </c>
      <c r="P61" s="60">
        <v>27110.0</v>
      </c>
      <c r="Q61" s="38">
        <v>0.0</v>
      </c>
      <c r="R61" s="38">
        <v>0.0</v>
      </c>
      <c r="S61" s="38">
        <v>0.0</v>
      </c>
      <c r="T61" s="38">
        <f t="shared" si="3"/>
        <v>27110</v>
      </c>
      <c r="U61" s="39">
        <f t="shared" si="4"/>
        <v>46248</v>
      </c>
      <c r="V61" s="40">
        <f t="shared" si="5"/>
        <v>2624248</v>
      </c>
      <c r="W61" s="42">
        <f t="shared" si="6"/>
        <v>77648.98192</v>
      </c>
    </row>
    <row r="62" ht="15.75" hidden="1" customHeight="1">
      <c r="A62" s="44">
        <v>46149.0</v>
      </c>
      <c r="B62" s="49" t="s">
        <v>32</v>
      </c>
      <c r="C62" s="51">
        <v>788.0</v>
      </c>
      <c r="D62" s="51" t="s">
        <v>131</v>
      </c>
      <c r="E62" s="51">
        <v>788.0</v>
      </c>
      <c r="F62" s="51" t="s">
        <v>45</v>
      </c>
      <c r="G62" s="51" t="s">
        <v>46</v>
      </c>
      <c r="H62" s="45" t="s">
        <v>35</v>
      </c>
      <c r="I62" s="31">
        <f t="shared" si="1"/>
        <v>99</v>
      </c>
      <c r="J62" s="52">
        <v>71.85</v>
      </c>
      <c r="K62" s="34">
        <f t="shared" si="2"/>
        <v>74.77321233</v>
      </c>
      <c r="L62" s="51">
        <v>15.0</v>
      </c>
      <c r="M62" s="51">
        <v>2500.0</v>
      </c>
      <c r="N62" s="51">
        <v>6000.0</v>
      </c>
      <c r="O62" s="51">
        <v>1.0</v>
      </c>
      <c r="P62" s="53">
        <v>1800.0</v>
      </c>
      <c r="Q62" s="38">
        <v>0.0</v>
      </c>
      <c r="R62" s="38">
        <v>0.0</v>
      </c>
      <c r="S62" s="38">
        <v>0.0</v>
      </c>
      <c r="T62" s="38">
        <f t="shared" si="3"/>
        <v>1800</v>
      </c>
      <c r="U62" s="39">
        <f t="shared" si="4"/>
        <v>46248</v>
      </c>
      <c r="V62" s="40">
        <f t="shared" si="5"/>
        <v>129330</v>
      </c>
      <c r="W62" s="42">
        <f t="shared" si="6"/>
        <v>5261.782192</v>
      </c>
    </row>
    <row r="63" ht="15.75" hidden="1" customHeight="1">
      <c r="A63" s="44">
        <v>46214.0</v>
      </c>
      <c r="B63" s="49" t="s">
        <v>32</v>
      </c>
      <c r="C63" s="51">
        <v>788.0</v>
      </c>
      <c r="D63" s="51" t="s">
        <v>132</v>
      </c>
      <c r="E63" s="46">
        <v>788.0</v>
      </c>
      <c r="F63" s="51" t="s">
        <v>110</v>
      </c>
      <c r="G63" s="51" t="s">
        <v>46</v>
      </c>
      <c r="H63" s="49" t="s">
        <v>35</v>
      </c>
      <c r="I63" s="31">
        <f t="shared" si="1"/>
        <v>34</v>
      </c>
      <c r="J63" s="52">
        <v>66.49</v>
      </c>
      <c r="K63" s="34">
        <f t="shared" si="2"/>
        <v>67.41903836</v>
      </c>
      <c r="L63" s="51">
        <v>8.0</v>
      </c>
      <c r="M63" s="51">
        <v>2000.0</v>
      </c>
      <c r="N63" s="66">
        <v>3750.0</v>
      </c>
      <c r="O63" s="66">
        <v>1.0</v>
      </c>
      <c r="P63" s="67">
        <v>480.0</v>
      </c>
      <c r="Q63" s="38">
        <v>0.0</v>
      </c>
      <c r="R63" s="38">
        <v>0.0</v>
      </c>
      <c r="S63" s="38">
        <v>0.0</v>
      </c>
      <c r="T63" s="38">
        <f t="shared" si="3"/>
        <v>480</v>
      </c>
      <c r="U63" s="39">
        <f t="shared" si="4"/>
        <v>46248</v>
      </c>
      <c r="V63" s="40">
        <f t="shared" si="5"/>
        <v>31915.2</v>
      </c>
      <c r="W63" s="42">
        <f t="shared" si="6"/>
        <v>445.938411</v>
      </c>
    </row>
    <row r="64" ht="15.75" customHeight="1">
      <c r="A64" s="44">
        <v>46135.0</v>
      </c>
      <c r="B64" s="49" t="s">
        <v>32</v>
      </c>
      <c r="C64" s="51">
        <v>788.0</v>
      </c>
      <c r="D64" s="51" t="s">
        <v>127</v>
      </c>
      <c r="E64" s="46">
        <v>788.0</v>
      </c>
      <c r="F64" s="51" t="s">
        <v>35</v>
      </c>
      <c r="G64" s="51" t="s">
        <v>133</v>
      </c>
      <c r="H64" s="49" t="s">
        <v>35</v>
      </c>
      <c r="I64" s="31">
        <f t="shared" si="1"/>
        <v>113</v>
      </c>
      <c r="J64" s="52">
        <v>120.5</v>
      </c>
      <c r="K64" s="34">
        <f t="shared" si="2"/>
        <v>126.0958219</v>
      </c>
      <c r="L64" s="51">
        <v>3.0</v>
      </c>
      <c r="M64" s="51">
        <v>1500.0</v>
      </c>
      <c r="N64" s="66">
        <v>6000.0</v>
      </c>
      <c r="O64" s="66">
        <v>3.0</v>
      </c>
      <c r="P64" s="68">
        <v>640.0</v>
      </c>
      <c r="Q64" s="38">
        <v>0.0</v>
      </c>
      <c r="R64" s="38">
        <v>0.0</v>
      </c>
      <c r="S64" s="38">
        <v>0.0</v>
      </c>
      <c r="T64" s="38">
        <f t="shared" si="3"/>
        <v>640</v>
      </c>
      <c r="U64" s="39">
        <f t="shared" si="4"/>
        <v>46248</v>
      </c>
      <c r="V64" s="40">
        <f t="shared" si="5"/>
        <v>77120</v>
      </c>
      <c r="W64" s="42">
        <f t="shared" si="6"/>
        <v>3581.326027</v>
      </c>
    </row>
    <row r="65" ht="15.75" hidden="1" customHeight="1">
      <c r="A65" s="44">
        <v>46133.0</v>
      </c>
      <c r="B65" s="49" t="s">
        <v>32</v>
      </c>
      <c r="C65" s="46" t="s">
        <v>75</v>
      </c>
      <c r="D65" s="46" t="s">
        <v>40</v>
      </c>
      <c r="E65" s="46" t="s">
        <v>75</v>
      </c>
      <c r="F65" s="46" t="s">
        <v>40</v>
      </c>
      <c r="G65" s="46" t="s">
        <v>129</v>
      </c>
      <c r="H65" s="45" t="s">
        <v>76</v>
      </c>
      <c r="I65" s="31">
        <f t="shared" si="1"/>
        <v>115</v>
      </c>
      <c r="J65" s="52">
        <v>67.8</v>
      </c>
      <c r="K65" s="34">
        <f t="shared" si="2"/>
        <v>71.00424658</v>
      </c>
      <c r="L65" s="46">
        <v>32.0</v>
      </c>
      <c r="M65" s="46">
        <v>2500.0</v>
      </c>
      <c r="N65" s="46">
        <v>6000.0</v>
      </c>
      <c r="O65" s="46">
        <v>3.0</v>
      </c>
      <c r="P65" s="36">
        <v>11298.0</v>
      </c>
      <c r="Q65" s="38">
        <v>0.0</v>
      </c>
      <c r="R65" s="38">
        <v>0.0</v>
      </c>
      <c r="S65" s="38">
        <v>0.0</v>
      </c>
      <c r="T65" s="38">
        <f t="shared" si="3"/>
        <v>11298</v>
      </c>
      <c r="U65" s="39">
        <f t="shared" si="4"/>
        <v>46248</v>
      </c>
      <c r="V65" s="40">
        <f t="shared" si="5"/>
        <v>766004.4</v>
      </c>
      <c r="W65" s="42">
        <f t="shared" si="6"/>
        <v>36201.57781</v>
      </c>
      <c r="X65" s="69"/>
      <c r="Y65" s="69"/>
      <c r="Z65" s="69"/>
    </row>
    <row r="66" ht="15.75" hidden="1" customHeight="1">
      <c r="A66" s="44">
        <v>46133.0</v>
      </c>
      <c r="B66" s="49" t="s">
        <v>32</v>
      </c>
      <c r="C66" s="46">
        <v>788.0</v>
      </c>
      <c r="D66" s="46" t="s">
        <v>40</v>
      </c>
      <c r="E66" s="46">
        <v>788.0</v>
      </c>
      <c r="F66" s="46" t="s">
        <v>40</v>
      </c>
      <c r="G66" s="46" t="s">
        <v>129</v>
      </c>
      <c r="H66" s="45" t="s">
        <v>35</v>
      </c>
      <c r="I66" s="31">
        <f t="shared" si="1"/>
        <v>115</v>
      </c>
      <c r="J66" s="52">
        <v>63.25</v>
      </c>
      <c r="K66" s="34">
        <f t="shared" si="2"/>
        <v>66.23921233</v>
      </c>
      <c r="L66" s="46">
        <v>30.0</v>
      </c>
      <c r="M66" s="46">
        <v>2500.0</v>
      </c>
      <c r="N66" s="46">
        <v>6000.0</v>
      </c>
      <c r="O66" s="46">
        <v>2.0</v>
      </c>
      <c r="P66" s="36">
        <v>7400.0</v>
      </c>
      <c r="Q66" s="38">
        <v>0.0</v>
      </c>
      <c r="R66" s="38">
        <v>0.0</v>
      </c>
      <c r="S66" s="38">
        <v>0.0</v>
      </c>
      <c r="T66" s="38">
        <f t="shared" si="3"/>
        <v>7400</v>
      </c>
      <c r="U66" s="39">
        <f t="shared" si="4"/>
        <v>46248</v>
      </c>
      <c r="V66" s="40">
        <f t="shared" si="5"/>
        <v>468050</v>
      </c>
      <c r="W66" s="42">
        <f t="shared" si="6"/>
        <v>22120.17123</v>
      </c>
    </row>
    <row r="67" ht="15.75" hidden="1" customHeight="1">
      <c r="A67" s="44">
        <v>46134.0</v>
      </c>
      <c r="B67" s="49" t="s">
        <v>32</v>
      </c>
      <c r="C67" s="51">
        <v>788.0</v>
      </c>
      <c r="D67" s="46" t="s">
        <v>40</v>
      </c>
      <c r="E67" s="51">
        <v>788.0</v>
      </c>
      <c r="F67" s="46" t="s">
        <v>40</v>
      </c>
      <c r="G67" s="46" t="s">
        <v>95</v>
      </c>
      <c r="H67" s="45" t="s">
        <v>35</v>
      </c>
      <c r="I67" s="31">
        <f t="shared" si="1"/>
        <v>114</v>
      </c>
      <c r="J67" s="52">
        <v>93.8</v>
      </c>
      <c r="K67" s="34">
        <f t="shared" si="2"/>
        <v>98.19446575</v>
      </c>
      <c r="L67" s="46">
        <v>10.0</v>
      </c>
      <c r="M67" s="46">
        <v>2000.0</v>
      </c>
      <c r="N67" s="46">
        <v>6000.0</v>
      </c>
      <c r="O67" s="46">
        <v>1.0</v>
      </c>
      <c r="P67" s="36">
        <v>960.0</v>
      </c>
      <c r="Q67" s="38">
        <v>0.0</v>
      </c>
      <c r="R67" s="38">
        <v>0.0</v>
      </c>
      <c r="S67" s="38">
        <v>0.0</v>
      </c>
      <c r="T67" s="38">
        <f t="shared" si="3"/>
        <v>960</v>
      </c>
      <c r="U67" s="39">
        <f t="shared" si="4"/>
        <v>46248</v>
      </c>
      <c r="V67" s="40">
        <f t="shared" si="5"/>
        <v>90048</v>
      </c>
      <c r="W67" s="42">
        <f t="shared" si="6"/>
        <v>4218.687123</v>
      </c>
    </row>
    <row r="68" ht="15.75" hidden="1" customHeight="1">
      <c r="A68" s="44">
        <v>46136.0</v>
      </c>
      <c r="B68" s="49" t="s">
        <v>32</v>
      </c>
      <c r="C68" s="46" t="s">
        <v>75</v>
      </c>
      <c r="D68" s="46" t="s">
        <v>40</v>
      </c>
      <c r="E68" s="46" t="s">
        <v>75</v>
      </c>
      <c r="F68" s="46" t="s">
        <v>40</v>
      </c>
      <c r="G68" s="46" t="s">
        <v>95</v>
      </c>
      <c r="H68" s="45" t="s">
        <v>76</v>
      </c>
      <c r="I68" s="31">
        <f t="shared" si="1"/>
        <v>112</v>
      </c>
      <c r="J68" s="52">
        <v>96.9</v>
      </c>
      <c r="K68" s="34">
        <f t="shared" si="2"/>
        <v>101.3600548</v>
      </c>
      <c r="L68" s="46">
        <v>20.0</v>
      </c>
      <c r="M68" s="46">
        <v>2000.0</v>
      </c>
      <c r="N68" s="46">
        <v>6000.0</v>
      </c>
      <c r="O68" s="46">
        <v>4.0</v>
      </c>
      <c r="P68" s="36">
        <v>7610.0</v>
      </c>
      <c r="Q68" s="38">
        <v>0.0</v>
      </c>
      <c r="R68" s="38">
        <v>0.0</v>
      </c>
      <c r="S68" s="38">
        <v>0.0</v>
      </c>
      <c r="T68" s="38">
        <f t="shared" si="3"/>
        <v>7610</v>
      </c>
      <c r="U68" s="39">
        <f t="shared" si="4"/>
        <v>46248</v>
      </c>
      <c r="V68" s="40">
        <f t="shared" si="5"/>
        <v>737409</v>
      </c>
      <c r="W68" s="42">
        <f t="shared" si="6"/>
        <v>33941.01699</v>
      </c>
    </row>
    <row r="69" ht="15.75" hidden="1" customHeight="1">
      <c r="A69" s="44">
        <v>46136.0</v>
      </c>
      <c r="B69" s="49" t="s">
        <v>32</v>
      </c>
      <c r="C69" s="46">
        <v>788.0</v>
      </c>
      <c r="D69" s="46" t="s">
        <v>40</v>
      </c>
      <c r="E69" s="46">
        <v>788.0</v>
      </c>
      <c r="F69" s="46" t="s">
        <v>40</v>
      </c>
      <c r="G69" s="46" t="s">
        <v>95</v>
      </c>
      <c r="H69" s="45" t="s">
        <v>35</v>
      </c>
      <c r="I69" s="31">
        <f t="shared" si="1"/>
        <v>112</v>
      </c>
      <c r="J69" s="52">
        <v>90.4</v>
      </c>
      <c r="K69" s="34">
        <f t="shared" si="2"/>
        <v>94.56087671</v>
      </c>
      <c r="L69" s="46">
        <v>12.0</v>
      </c>
      <c r="M69" s="46">
        <v>2000.0</v>
      </c>
      <c r="N69" s="46">
        <v>6000.0</v>
      </c>
      <c r="O69" s="46">
        <v>16.0</v>
      </c>
      <c r="P69" s="36">
        <v>18470.0</v>
      </c>
      <c r="Q69" s="38">
        <v>0.0</v>
      </c>
      <c r="R69" s="38">
        <v>0.0</v>
      </c>
      <c r="S69" s="38">
        <v>0.0</v>
      </c>
      <c r="T69" s="38">
        <f t="shared" si="3"/>
        <v>18470</v>
      </c>
      <c r="U69" s="39">
        <f t="shared" si="4"/>
        <v>46248</v>
      </c>
      <c r="V69" s="40">
        <f t="shared" si="5"/>
        <v>1669688</v>
      </c>
      <c r="W69" s="42">
        <f t="shared" si="6"/>
        <v>76851.39288</v>
      </c>
    </row>
    <row r="70" ht="15.75" hidden="1" customHeight="1">
      <c r="A70" s="44">
        <v>46136.0</v>
      </c>
      <c r="B70" s="49" t="s">
        <v>32</v>
      </c>
      <c r="C70" s="46" t="s">
        <v>75</v>
      </c>
      <c r="D70" s="46" t="s">
        <v>40</v>
      </c>
      <c r="E70" s="46" t="s">
        <v>75</v>
      </c>
      <c r="F70" s="46" t="s">
        <v>40</v>
      </c>
      <c r="G70" s="46" t="s">
        <v>95</v>
      </c>
      <c r="H70" s="45" t="s">
        <v>76</v>
      </c>
      <c r="I70" s="31">
        <f t="shared" si="1"/>
        <v>112</v>
      </c>
      <c r="J70" s="52">
        <v>96.9</v>
      </c>
      <c r="K70" s="34">
        <f t="shared" si="2"/>
        <v>101.3600548</v>
      </c>
      <c r="L70" s="46">
        <v>20.0</v>
      </c>
      <c r="M70" s="46">
        <v>2500.0</v>
      </c>
      <c r="N70" s="46">
        <v>12000.0</v>
      </c>
      <c r="O70" s="46">
        <v>4.0</v>
      </c>
      <c r="P70" s="36">
        <v>19320.0</v>
      </c>
      <c r="Q70" s="38">
        <v>0.0</v>
      </c>
      <c r="R70" s="38">
        <v>0.0</v>
      </c>
      <c r="S70" s="38">
        <v>0.0</v>
      </c>
      <c r="T70" s="38">
        <f t="shared" si="3"/>
        <v>19320</v>
      </c>
      <c r="U70" s="39">
        <f t="shared" si="4"/>
        <v>46248</v>
      </c>
      <c r="V70" s="40">
        <f t="shared" si="5"/>
        <v>1872108</v>
      </c>
      <c r="W70" s="42">
        <f t="shared" si="6"/>
        <v>86168.25863</v>
      </c>
    </row>
    <row r="71" ht="15.75" customHeight="1">
      <c r="A71" s="44">
        <v>46152.0</v>
      </c>
      <c r="B71" s="49" t="s">
        <v>32</v>
      </c>
      <c r="C71" s="46" t="s">
        <v>99</v>
      </c>
      <c r="D71" s="46" t="s">
        <v>40</v>
      </c>
      <c r="E71" s="46" t="s">
        <v>99</v>
      </c>
      <c r="F71" s="46" t="s">
        <v>40</v>
      </c>
      <c r="G71" s="46" t="s">
        <v>13</v>
      </c>
      <c r="H71" s="45" t="s">
        <v>76</v>
      </c>
      <c r="I71" s="31">
        <f t="shared" si="1"/>
        <v>96</v>
      </c>
      <c r="J71" s="52">
        <v>97.8</v>
      </c>
      <c r="K71" s="34">
        <f t="shared" si="2"/>
        <v>101.658411</v>
      </c>
      <c r="L71" s="46">
        <v>8.0</v>
      </c>
      <c r="M71" s="46">
        <v>2500.0</v>
      </c>
      <c r="N71" s="46">
        <v>6000.0</v>
      </c>
      <c r="O71" s="46">
        <v>7.0</v>
      </c>
      <c r="P71" s="60">
        <v>6720.0</v>
      </c>
      <c r="Q71" s="38">
        <v>0.0</v>
      </c>
      <c r="R71" s="38">
        <v>0.0</v>
      </c>
      <c r="S71" s="38">
        <v>0.0</v>
      </c>
      <c r="T71" s="38">
        <f t="shared" si="3"/>
        <v>6720</v>
      </c>
      <c r="U71" s="39">
        <f t="shared" si="4"/>
        <v>46248</v>
      </c>
      <c r="V71" s="40">
        <f t="shared" si="5"/>
        <v>657216</v>
      </c>
      <c r="W71" s="42">
        <f t="shared" si="6"/>
        <v>25928.52164</v>
      </c>
    </row>
    <row r="72" ht="15.75" customHeight="1">
      <c r="A72" s="44">
        <v>46034.0</v>
      </c>
      <c r="B72" s="49" t="s">
        <v>32</v>
      </c>
      <c r="C72" s="51" t="s">
        <v>99</v>
      </c>
      <c r="D72" s="51" t="s">
        <v>40</v>
      </c>
      <c r="E72" s="51" t="s">
        <v>99</v>
      </c>
      <c r="F72" s="51" t="s">
        <v>40</v>
      </c>
      <c r="G72" s="51" t="s">
        <v>13</v>
      </c>
      <c r="H72" s="45" t="s">
        <v>76</v>
      </c>
      <c r="I72" s="31">
        <f t="shared" si="1"/>
        <v>214</v>
      </c>
      <c r="J72" s="52">
        <v>99.4</v>
      </c>
      <c r="K72" s="34">
        <f t="shared" si="2"/>
        <v>108.1417534</v>
      </c>
      <c r="L72" s="51">
        <v>8.0</v>
      </c>
      <c r="M72" s="51">
        <v>2500.0</v>
      </c>
      <c r="N72" s="51">
        <v>12000.0</v>
      </c>
      <c r="O72" s="51">
        <v>1.0</v>
      </c>
      <c r="P72" s="57">
        <v>1960.0</v>
      </c>
      <c r="Q72" s="38">
        <v>0.0</v>
      </c>
      <c r="R72" s="38">
        <v>0.0</v>
      </c>
      <c r="S72" s="38">
        <v>0.0</v>
      </c>
      <c r="T72" s="38">
        <f t="shared" si="3"/>
        <v>1960</v>
      </c>
      <c r="U72" s="39">
        <f t="shared" si="4"/>
        <v>46248</v>
      </c>
      <c r="V72" s="40">
        <f t="shared" si="5"/>
        <v>194824</v>
      </c>
      <c r="W72" s="42">
        <f t="shared" si="6"/>
        <v>17133.83671</v>
      </c>
    </row>
    <row r="73" ht="15.75" customHeight="1">
      <c r="A73" s="44">
        <v>46135.0</v>
      </c>
      <c r="B73" s="49" t="s">
        <v>32</v>
      </c>
      <c r="C73" s="46" t="s">
        <v>99</v>
      </c>
      <c r="D73" s="46" t="s">
        <v>40</v>
      </c>
      <c r="E73" s="46" t="s">
        <v>99</v>
      </c>
      <c r="F73" s="46" t="s">
        <v>40</v>
      </c>
      <c r="G73" s="46" t="s">
        <v>13</v>
      </c>
      <c r="H73" s="45" t="s">
        <v>35</v>
      </c>
      <c r="I73" s="31">
        <f t="shared" si="1"/>
        <v>113</v>
      </c>
      <c r="J73" s="52">
        <v>96.3</v>
      </c>
      <c r="K73" s="34">
        <f t="shared" si="2"/>
        <v>100.7720137</v>
      </c>
      <c r="L73" s="46">
        <v>12.0</v>
      </c>
      <c r="M73" s="46">
        <v>2500.0</v>
      </c>
      <c r="N73" s="46">
        <v>6000.0</v>
      </c>
      <c r="O73" s="46">
        <v>11.0</v>
      </c>
      <c r="P73" s="60">
        <v>16280.0</v>
      </c>
      <c r="Q73" s="38">
        <v>0.0</v>
      </c>
      <c r="R73" s="38">
        <v>0.0</v>
      </c>
      <c r="S73" s="38">
        <v>0.0</v>
      </c>
      <c r="T73" s="38">
        <f t="shared" si="3"/>
        <v>16280</v>
      </c>
      <c r="U73" s="39">
        <f t="shared" si="4"/>
        <v>46248</v>
      </c>
      <c r="V73" s="40">
        <f t="shared" si="5"/>
        <v>1567764</v>
      </c>
      <c r="W73" s="42">
        <f t="shared" si="6"/>
        <v>72804.38301</v>
      </c>
    </row>
    <row r="74" ht="15.75" customHeight="1">
      <c r="A74" s="44">
        <v>46154.0</v>
      </c>
      <c r="B74" s="49" t="s">
        <v>32</v>
      </c>
      <c r="C74" s="51">
        <v>788.0</v>
      </c>
      <c r="D74" s="51" t="s">
        <v>134</v>
      </c>
      <c r="E74" s="51">
        <v>788.0</v>
      </c>
      <c r="F74" s="51" t="s">
        <v>40</v>
      </c>
      <c r="G74" s="51" t="s">
        <v>124</v>
      </c>
      <c r="H74" s="45" t="s">
        <v>35</v>
      </c>
      <c r="I74" s="31">
        <f t="shared" si="1"/>
        <v>94</v>
      </c>
      <c r="J74" s="52">
        <v>69.35</v>
      </c>
      <c r="K74" s="34">
        <f t="shared" si="2"/>
        <v>72.029</v>
      </c>
      <c r="L74" s="51">
        <v>120.0</v>
      </c>
      <c r="M74" s="51">
        <v>400.0</v>
      </c>
      <c r="N74" s="51">
        <v>5500.0</v>
      </c>
      <c r="O74" s="51">
        <v>1.0</v>
      </c>
      <c r="P74" s="53">
        <v>5030.0</v>
      </c>
      <c r="Q74" s="38">
        <v>0.0</v>
      </c>
      <c r="R74" s="38">
        <v>0.0</v>
      </c>
      <c r="S74" s="38">
        <v>0.0</v>
      </c>
      <c r="T74" s="38">
        <f t="shared" si="3"/>
        <v>5030</v>
      </c>
      <c r="U74" s="39">
        <f t="shared" si="4"/>
        <v>46248</v>
      </c>
      <c r="V74" s="40">
        <f t="shared" si="5"/>
        <v>348830.5</v>
      </c>
      <c r="W74" s="42">
        <f t="shared" si="6"/>
        <v>13475.37</v>
      </c>
      <c r="X74" s="69"/>
      <c r="Y74" s="69"/>
      <c r="Z74" s="69"/>
    </row>
    <row r="75" ht="15.75" customHeight="1">
      <c r="A75" s="44">
        <v>46172.0</v>
      </c>
      <c r="B75" s="70" t="s">
        <v>32</v>
      </c>
      <c r="C75" s="51" t="s">
        <v>99</v>
      </c>
      <c r="D75" s="71" t="s">
        <v>135</v>
      </c>
      <c r="E75" s="51" t="s">
        <v>99</v>
      </c>
      <c r="F75" s="71" t="s">
        <v>136</v>
      </c>
      <c r="G75" s="51" t="s">
        <v>137</v>
      </c>
      <c r="H75" s="70" t="s">
        <v>35</v>
      </c>
      <c r="I75" s="31">
        <f t="shared" si="1"/>
        <v>76</v>
      </c>
      <c r="J75" s="52">
        <v>58.0</v>
      </c>
      <c r="K75" s="34">
        <f t="shared" si="2"/>
        <v>59.81150685</v>
      </c>
      <c r="L75" s="51">
        <v>2.9</v>
      </c>
      <c r="M75" s="51">
        <v>1680.0</v>
      </c>
      <c r="N75" s="51" t="s">
        <v>89</v>
      </c>
      <c r="O75" s="51">
        <v>0.0</v>
      </c>
      <c r="P75" s="53">
        <v>6160.0</v>
      </c>
      <c r="Q75" s="38">
        <v>0.0</v>
      </c>
      <c r="R75" s="38">
        <v>0.0</v>
      </c>
      <c r="S75" s="38">
        <v>0.0</v>
      </c>
      <c r="T75" s="38">
        <f t="shared" si="3"/>
        <v>6160</v>
      </c>
      <c r="U75" s="39">
        <f t="shared" si="4"/>
        <v>46248</v>
      </c>
      <c r="V75" s="40">
        <f t="shared" si="5"/>
        <v>357280</v>
      </c>
      <c r="W75" s="42">
        <f t="shared" si="6"/>
        <v>11158.88219</v>
      </c>
      <c r="X75" s="69"/>
      <c r="Y75" s="69"/>
      <c r="Z75" s="69"/>
    </row>
    <row r="76" ht="15.75" hidden="1" customHeight="1">
      <c r="A76" s="44">
        <v>46152.0</v>
      </c>
      <c r="B76" s="45" t="s">
        <v>138</v>
      </c>
      <c r="C76" s="46">
        <v>788.0</v>
      </c>
      <c r="D76" s="46" t="s">
        <v>139</v>
      </c>
      <c r="E76" s="46">
        <v>788.0</v>
      </c>
      <c r="F76" s="46" t="s">
        <v>35</v>
      </c>
      <c r="G76" s="46" t="s">
        <v>72</v>
      </c>
      <c r="H76" s="46" t="s">
        <v>101</v>
      </c>
      <c r="I76" s="31">
        <f t="shared" si="1"/>
        <v>96</v>
      </c>
      <c r="J76" s="52">
        <v>61.85</v>
      </c>
      <c r="K76" s="34">
        <f t="shared" si="2"/>
        <v>64.29010959</v>
      </c>
      <c r="L76" s="46">
        <v>3.0</v>
      </c>
      <c r="M76" s="46">
        <v>1500.0</v>
      </c>
      <c r="N76" s="46">
        <v>5060.0</v>
      </c>
      <c r="O76" s="46">
        <v>1.0</v>
      </c>
      <c r="P76" s="36">
        <v>170.0</v>
      </c>
      <c r="Q76" s="38">
        <v>0.0</v>
      </c>
      <c r="R76" s="38">
        <v>0.0</v>
      </c>
      <c r="S76" s="38">
        <v>0.0</v>
      </c>
      <c r="T76" s="38">
        <f t="shared" si="3"/>
        <v>170</v>
      </c>
      <c r="U76" s="39">
        <f t="shared" si="4"/>
        <v>46248</v>
      </c>
      <c r="V76" s="40">
        <f t="shared" si="5"/>
        <v>10514.5</v>
      </c>
      <c r="W76" s="42">
        <f t="shared" si="6"/>
        <v>414.8186301</v>
      </c>
      <c r="Y76" s="69"/>
      <c r="Z76" s="69"/>
    </row>
    <row r="77" ht="15.75" hidden="1" customHeight="1">
      <c r="A77" s="44">
        <v>46152.0</v>
      </c>
      <c r="B77" s="45" t="s">
        <v>138</v>
      </c>
      <c r="C77" s="46">
        <v>788.0</v>
      </c>
      <c r="D77" s="46" t="s">
        <v>105</v>
      </c>
      <c r="E77" s="46">
        <v>788.0</v>
      </c>
      <c r="F77" s="46" t="s">
        <v>35</v>
      </c>
      <c r="G77" s="46" t="s">
        <v>72</v>
      </c>
      <c r="H77" s="46" t="s">
        <v>101</v>
      </c>
      <c r="I77" s="31">
        <f t="shared" si="1"/>
        <v>96</v>
      </c>
      <c r="J77" s="52">
        <v>61.1</v>
      </c>
      <c r="K77" s="34">
        <f t="shared" si="2"/>
        <v>63.51052055</v>
      </c>
      <c r="L77" s="46">
        <v>6.0</v>
      </c>
      <c r="M77" s="46">
        <v>2000.0</v>
      </c>
      <c r="N77" s="46">
        <v>300.0</v>
      </c>
      <c r="O77" s="46">
        <v>1.0</v>
      </c>
      <c r="P77" s="36">
        <v>280.0</v>
      </c>
      <c r="Q77" s="38">
        <v>0.0</v>
      </c>
      <c r="R77" s="38">
        <v>0.0</v>
      </c>
      <c r="S77" s="38">
        <v>0.0</v>
      </c>
      <c r="T77" s="38">
        <f t="shared" si="3"/>
        <v>280</v>
      </c>
      <c r="U77" s="39">
        <f t="shared" si="4"/>
        <v>46248</v>
      </c>
      <c r="V77" s="40">
        <f t="shared" si="5"/>
        <v>17108</v>
      </c>
      <c r="W77" s="42">
        <f t="shared" si="6"/>
        <v>674.9457534</v>
      </c>
      <c r="Y77" s="69"/>
      <c r="Z77" s="69"/>
    </row>
    <row r="78" ht="15.75" hidden="1" customHeight="1">
      <c r="A78" s="44">
        <v>46156.0</v>
      </c>
      <c r="B78" s="45" t="s">
        <v>138</v>
      </c>
      <c r="C78" s="46">
        <v>788.0</v>
      </c>
      <c r="D78" s="46" t="s">
        <v>105</v>
      </c>
      <c r="E78" s="46">
        <v>788.0</v>
      </c>
      <c r="F78" s="46" t="s">
        <v>35</v>
      </c>
      <c r="G78" s="46" t="s">
        <v>72</v>
      </c>
      <c r="H78" s="46" t="s">
        <v>101</v>
      </c>
      <c r="I78" s="31">
        <f t="shared" si="1"/>
        <v>92</v>
      </c>
      <c r="J78" s="52">
        <v>60.23</v>
      </c>
      <c r="K78" s="34">
        <f t="shared" si="2"/>
        <v>62.50718904</v>
      </c>
      <c r="L78" s="46">
        <v>4.0</v>
      </c>
      <c r="M78" s="46">
        <v>1140.0</v>
      </c>
      <c r="N78" s="46">
        <v>5232.0</v>
      </c>
      <c r="O78" s="46">
        <v>96.0</v>
      </c>
      <c r="P78" s="36">
        <v>18350.0</v>
      </c>
      <c r="Q78" s="38">
        <v>0.0</v>
      </c>
      <c r="R78" s="38">
        <v>0.0</v>
      </c>
      <c r="S78" s="38">
        <v>0.0</v>
      </c>
      <c r="T78" s="38">
        <f t="shared" si="3"/>
        <v>18350</v>
      </c>
      <c r="U78" s="39">
        <f t="shared" si="4"/>
        <v>46248</v>
      </c>
      <c r="V78" s="40">
        <f t="shared" si="5"/>
        <v>1105220.5</v>
      </c>
      <c r="W78" s="42">
        <f t="shared" si="6"/>
        <v>41786.4189</v>
      </c>
      <c r="Y78" s="69"/>
      <c r="Z78" s="69"/>
    </row>
    <row r="79" ht="15.75" customHeight="1">
      <c r="A79" s="44">
        <v>46146.0</v>
      </c>
      <c r="B79" s="45" t="s">
        <v>32</v>
      </c>
      <c r="C79" s="46">
        <v>788.0</v>
      </c>
      <c r="D79" s="46" t="s">
        <v>55</v>
      </c>
      <c r="E79" s="46">
        <v>788.0</v>
      </c>
      <c r="F79" s="46" t="s">
        <v>49</v>
      </c>
      <c r="G79" s="46" t="s">
        <v>140</v>
      </c>
      <c r="H79" s="46" t="s">
        <v>101</v>
      </c>
      <c r="I79" s="31">
        <f t="shared" si="1"/>
        <v>102</v>
      </c>
      <c r="J79" s="52">
        <v>105.0</v>
      </c>
      <c r="K79" s="34">
        <f t="shared" si="2"/>
        <v>109.4013699</v>
      </c>
      <c r="L79" s="46">
        <v>10.0</v>
      </c>
      <c r="M79" s="46">
        <v>2500.0</v>
      </c>
      <c r="N79" s="46">
        <v>12000.0</v>
      </c>
      <c r="O79" s="46">
        <v>4.0</v>
      </c>
      <c r="P79" s="36">
        <v>10052.0</v>
      </c>
      <c r="Q79" s="38">
        <v>0.0</v>
      </c>
      <c r="R79" s="38">
        <v>0.0</v>
      </c>
      <c r="S79" s="38">
        <v>0.0</v>
      </c>
      <c r="T79" s="38">
        <f t="shared" si="3"/>
        <v>10052</v>
      </c>
      <c r="U79" s="39">
        <f t="shared" si="4"/>
        <v>46248</v>
      </c>
      <c r="V79" s="40">
        <f t="shared" si="5"/>
        <v>1055460</v>
      </c>
      <c r="W79" s="42">
        <f t="shared" si="6"/>
        <v>44242.56986</v>
      </c>
      <c r="X79" s="69"/>
      <c r="Y79" s="69"/>
      <c r="Z79" s="69"/>
    </row>
    <row r="80" ht="15.75" customHeight="1">
      <c r="A80" s="44">
        <v>46146.0</v>
      </c>
      <c r="B80" s="45" t="s">
        <v>32</v>
      </c>
      <c r="C80" s="46">
        <v>788.0</v>
      </c>
      <c r="D80" s="46" t="s">
        <v>55</v>
      </c>
      <c r="E80" s="46">
        <v>788.0</v>
      </c>
      <c r="F80" s="46" t="s">
        <v>49</v>
      </c>
      <c r="G80" s="46" t="s">
        <v>140</v>
      </c>
      <c r="H80" s="46" t="s">
        <v>101</v>
      </c>
      <c r="I80" s="31">
        <f t="shared" si="1"/>
        <v>102</v>
      </c>
      <c r="J80" s="52">
        <v>105.0</v>
      </c>
      <c r="K80" s="34">
        <f t="shared" si="2"/>
        <v>109.4013699</v>
      </c>
      <c r="L80" s="46">
        <v>15.0</v>
      </c>
      <c r="M80" s="46">
        <v>2200.0</v>
      </c>
      <c r="N80" s="46">
        <v>11250.0</v>
      </c>
      <c r="O80" s="46">
        <v>3.0</v>
      </c>
      <c r="P80" s="36">
        <v>9195.0</v>
      </c>
      <c r="Q80" s="38">
        <v>0.0</v>
      </c>
      <c r="R80" s="38">
        <v>0.0</v>
      </c>
      <c r="S80" s="38">
        <v>0.0</v>
      </c>
      <c r="T80" s="38">
        <f t="shared" si="3"/>
        <v>9195</v>
      </c>
      <c r="U80" s="39">
        <f t="shared" si="4"/>
        <v>46248</v>
      </c>
      <c r="V80" s="40">
        <f t="shared" si="5"/>
        <v>965475</v>
      </c>
      <c r="W80" s="42">
        <f t="shared" si="6"/>
        <v>40470.59589</v>
      </c>
      <c r="X80" s="69"/>
      <c r="Y80" s="69"/>
      <c r="Z80" s="69"/>
    </row>
    <row r="81" ht="15.75" customHeight="1">
      <c r="A81" s="44">
        <v>46202.0</v>
      </c>
      <c r="B81" s="49" t="s">
        <v>32</v>
      </c>
      <c r="C81" s="51">
        <v>788.0</v>
      </c>
      <c r="D81" s="51" t="s">
        <v>40</v>
      </c>
      <c r="E81" s="51">
        <v>788.0</v>
      </c>
      <c r="F81" s="51" t="s">
        <v>40</v>
      </c>
      <c r="G81" s="51" t="s">
        <v>141</v>
      </c>
      <c r="H81" s="45" t="s">
        <v>35</v>
      </c>
      <c r="I81" s="31">
        <f t="shared" si="1"/>
        <v>46</v>
      </c>
      <c r="J81" s="52">
        <v>67.1</v>
      </c>
      <c r="K81" s="34">
        <f t="shared" si="2"/>
        <v>68.36846575</v>
      </c>
      <c r="L81" s="51">
        <v>22.0</v>
      </c>
      <c r="M81" s="51">
        <v>2500.0</v>
      </c>
      <c r="N81" s="51">
        <v>12000.0</v>
      </c>
      <c r="O81" s="51">
        <v>3.0</v>
      </c>
      <c r="P81" s="53">
        <v>15840.0</v>
      </c>
      <c r="Q81" s="38">
        <v>0.0</v>
      </c>
      <c r="R81" s="38">
        <v>0.0</v>
      </c>
      <c r="S81" s="38">
        <v>0.0</v>
      </c>
      <c r="T81" s="38">
        <f t="shared" si="3"/>
        <v>15840</v>
      </c>
      <c r="U81" s="39">
        <f t="shared" si="4"/>
        <v>46248</v>
      </c>
      <c r="V81" s="40">
        <f t="shared" si="5"/>
        <v>1062864</v>
      </c>
      <c r="W81" s="42">
        <f t="shared" si="6"/>
        <v>20092.49753</v>
      </c>
      <c r="X81" s="69"/>
      <c r="Y81" s="69"/>
      <c r="Z81" s="69"/>
    </row>
    <row r="82" ht="15.75" hidden="1" customHeight="1">
      <c r="A82" s="44">
        <v>46163.0</v>
      </c>
      <c r="B82" s="49" t="s">
        <v>32</v>
      </c>
      <c r="C82" s="46">
        <v>788.0</v>
      </c>
      <c r="D82" s="46" t="s">
        <v>40</v>
      </c>
      <c r="E82" s="46">
        <v>788.0</v>
      </c>
      <c r="F82" s="46" t="s">
        <v>40</v>
      </c>
      <c r="G82" s="46" t="s">
        <v>129</v>
      </c>
      <c r="H82" s="45" t="s">
        <v>35</v>
      </c>
      <c r="I82" s="31">
        <f t="shared" si="1"/>
        <v>85</v>
      </c>
      <c r="J82" s="52">
        <v>63.25</v>
      </c>
      <c r="K82" s="34">
        <f t="shared" si="2"/>
        <v>65.45941781</v>
      </c>
      <c r="L82" s="46">
        <v>22.0</v>
      </c>
      <c r="M82" s="46">
        <v>2500.0</v>
      </c>
      <c r="N82" s="46">
        <v>6000.0</v>
      </c>
      <c r="O82" s="46">
        <v>2.0</v>
      </c>
      <c r="P82" s="36">
        <v>5310.0</v>
      </c>
      <c r="Q82" s="38">
        <v>0.0</v>
      </c>
      <c r="R82" s="38">
        <v>0.0</v>
      </c>
      <c r="S82" s="38">
        <v>0.0</v>
      </c>
      <c r="T82" s="38">
        <f t="shared" si="3"/>
        <v>5310</v>
      </c>
      <c r="U82" s="39">
        <f t="shared" si="4"/>
        <v>46248</v>
      </c>
      <c r="V82" s="40">
        <f t="shared" si="5"/>
        <v>335857.5</v>
      </c>
      <c r="W82" s="42">
        <f t="shared" si="6"/>
        <v>11732.00856</v>
      </c>
      <c r="Z82" s="69"/>
    </row>
    <row r="83" ht="15.75" customHeight="1">
      <c r="A83" s="44">
        <v>46171.0</v>
      </c>
      <c r="B83" s="49" t="s">
        <v>32</v>
      </c>
      <c r="C83" s="46" t="s">
        <v>142</v>
      </c>
      <c r="D83" s="46" t="s">
        <v>40</v>
      </c>
      <c r="E83" s="46" t="s">
        <v>142</v>
      </c>
      <c r="F83" s="46" t="s">
        <v>40</v>
      </c>
      <c r="G83" s="46" t="s">
        <v>143</v>
      </c>
      <c r="H83" s="45" t="s">
        <v>76</v>
      </c>
      <c r="I83" s="31">
        <f t="shared" si="1"/>
        <v>77</v>
      </c>
      <c r="J83" s="52">
        <v>71.33</v>
      </c>
      <c r="K83" s="34">
        <f t="shared" si="2"/>
        <v>73.58715479</v>
      </c>
      <c r="L83" s="46">
        <v>10.0</v>
      </c>
      <c r="M83" s="46">
        <v>2500.0</v>
      </c>
      <c r="N83" s="46">
        <v>6300.0</v>
      </c>
      <c r="O83" s="46">
        <v>21.0</v>
      </c>
      <c r="P83" s="36">
        <v>26180.0</v>
      </c>
      <c r="Q83" s="38">
        <v>0.0</v>
      </c>
      <c r="R83" s="38">
        <v>0.0</v>
      </c>
      <c r="S83" s="38">
        <v>0.0</v>
      </c>
      <c r="T83" s="38">
        <f t="shared" si="3"/>
        <v>26180</v>
      </c>
      <c r="U83" s="39">
        <f t="shared" si="4"/>
        <v>46248</v>
      </c>
      <c r="V83" s="40">
        <f t="shared" si="5"/>
        <v>1867419.4</v>
      </c>
      <c r="W83" s="42">
        <f t="shared" si="6"/>
        <v>59092.31252</v>
      </c>
      <c r="Y83" s="69"/>
      <c r="Z83" s="69"/>
    </row>
    <row r="84" ht="15.75" hidden="1" customHeight="1">
      <c r="A84" s="44">
        <v>46242.0</v>
      </c>
      <c r="B84" s="49" t="s">
        <v>32</v>
      </c>
      <c r="C84" s="51" t="s">
        <v>142</v>
      </c>
      <c r="D84" s="51" t="s">
        <v>40</v>
      </c>
      <c r="E84" s="51" t="s">
        <v>142</v>
      </c>
      <c r="F84" s="51" t="s">
        <v>144</v>
      </c>
      <c r="G84" s="51" t="s">
        <v>46</v>
      </c>
      <c r="H84" s="45" t="s">
        <v>35</v>
      </c>
      <c r="I84" s="31">
        <f t="shared" si="1"/>
        <v>6</v>
      </c>
      <c r="J84" s="52">
        <v>66.2</v>
      </c>
      <c r="K84" s="34">
        <f t="shared" si="2"/>
        <v>66.36323288</v>
      </c>
      <c r="L84" s="51">
        <v>40.0</v>
      </c>
      <c r="M84" s="51">
        <v>2500.0</v>
      </c>
      <c r="N84" s="51">
        <v>12000.0</v>
      </c>
      <c r="O84" s="51">
        <v>4.0</v>
      </c>
      <c r="P84" s="53">
        <v>39248.0</v>
      </c>
      <c r="Q84" s="38">
        <v>0.0</v>
      </c>
      <c r="R84" s="38">
        <v>0.0</v>
      </c>
      <c r="S84" s="38">
        <v>0.0</v>
      </c>
      <c r="T84" s="38">
        <f t="shared" si="3"/>
        <v>39248</v>
      </c>
      <c r="U84" s="39">
        <f t="shared" si="4"/>
        <v>46248</v>
      </c>
      <c r="V84" s="40">
        <f t="shared" si="5"/>
        <v>2598217.6</v>
      </c>
      <c r="W84" s="42">
        <f t="shared" si="6"/>
        <v>6406.563945</v>
      </c>
      <c r="X84" s="69"/>
      <c r="Y84" s="69"/>
      <c r="Z84" s="69"/>
    </row>
    <row r="85" ht="15.75" hidden="1" customHeight="1">
      <c r="A85" s="44">
        <v>46217.0</v>
      </c>
      <c r="B85" s="49" t="s">
        <v>32</v>
      </c>
      <c r="C85" s="51" t="s">
        <v>142</v>
      </c>
      <c r="D85" s="51" t="s">
        <v>40</v>
      </c>
      <c r="E85" s="51" t="s">
        <v>142</v>
      </c>
      <c r="F85" s="51" t="s">
        <v>123</v>
      </c>
      <c r="G85" s="51" t="s">
        <v>46</v>
      </c>
      <c r="H85" s="45" t="s">
        <v>35</v>
      </c>
      <c r="I85" s="31">
        <f t="shared" si="1"/>
        <v>31</v>
      </c>
      <c r="J85" s="52">
        <v>63.6</v>
      </c>
      <c r="K85" s="34">
        <f t="shared" si="2"/>
        <v>64.41024658</v>
      </c>
      <c r="L85" s="51">
        <v>16.0</v>
      </c>
      <c r="M85" s="51">
        <v>2500.0</v>
      </c>
      <c r="N85" s="51">
        <v>12000.0</v>
      </c>
      <c r="O85" s="51">
        <v>7.0</v>
      </c>
      <c r="P85" s="53">
        <v>27201.0</v>
      </c>
      <c r="Q85" s="38">
        <v>0.0</v>
      </c>
      <c r="R85" s="38">
        <v>0.0</v>
      </c>
      <c r="S85" s="38">
        <v>0.0</v>
      </c>
      <c r="T85" s="38">
        <f t="shared" si="3"/>
        <v>27201</v>
      </c>
      <c r="U85" s="39">
        <f t="shared" si="4"/>
        <v>46248</v>
      </c>
      <c r="V85" s="40">
        <f t="shared" si="5"/>
        <v>1729983.6</v>
      </c>
      <c r="W85" s="42">
        <f t="shared" si="6"/>
        <v>22039.5171</v>
      </c>
      <c r="X85" s="69"/>
      <c r="Y85" s="69"/>
      <c r="Z85" s="69"/>
    </row>
    <row r="86" ht="15.75" customHeight="1">
      <c r="A86" s="44">
        <v>46178.0</v>
      </c>
      <c r="B86" s="49" t="s">
        <v>32</v>
      </c>
      <c r="C86" s="51">
        <v>788.0</v>
      </c>
      <c r="D86" s="51" t="s">
        <v>122</v>
      </c>
      <c r="E86" s="51">
        <v>788.0</v>
      </c>
      <c r="F86" s="51" t="s">
        <v>40</v>
      </c>
      <c r="G86" s="51" t="s">
        <v>137</v>
      </c>
      <c r="H86" s="45" t="s">
        <v>35</v>
      </c>
      <c r="I86" s="31">
        <f t="shared" si="1"/>
        <v>70</v>
      </c>
      <c r="J86" s="52">
        <v>67.75</v>
      </c>
      <c r="K86" s="34">
        <f t="shared" si="2"/>
        <v>69.6989726</v>
      </c>
      <c r="L86" s="51">
        <v>20.0</v>
      </c>
      <c r="M86" s="51">
        <v>2000.0</v>
      </c>
      <c r="N86" s="51">
        <v>2000.0</v>
      </c>
      <c r="O86" s="51">
        <v>3.0</v>
      </c>
      <c r="P86" s="53">
        <v>1900.0</v>
      </c>
      <c r="Q86" s="38">
        <v>0.0</v>
      </c>
      <c r="R86" s="38">
        <v>0.0</v>
      </c>
      <c r="S86" s="38">
        <v>0.0</v>
      </c>
      <c r="T86" s="38">
        <f t="shared" si="3"/>
        <v>1900</v>
      </c>
      <c r="U86" s="39">
        <f t="shared" si="4"/>
        <v>46248</v>
      </c>
      <c r="V86" s="40">
        <f t="shared" si="5"/>
        <v>128725</v>
      </c>
      <c r="W86" s="42">
        <f t="shared" si="6"/>
        <v>3703.047945</v>
      </c>
      <c r="X86" s="69"/>
      <c r="Y86" s="69"/>
      <c r="Z86" s="69"/>
    </row>
    <row r="87" ht="15.75" customHeight="1">
      <c r="A87" s="44">
        <v>46125.0</v>
      </c>
      <c r="B87" s="49" t="s">
        <v>32</v>
      </c>
      <c r="C87" s="51">
        <v>788.0</v>
      </c>
      <c r="D87" s="51" t="s">
        <v>93</v>
      </c>
      <c r="E87" s="51">
        <v>788.0</v>
      </c>
      <c r="F87" s="51" t="s">
        <v>110</v>
      </c>
      <c r="G87" s="51" t="s">
        <v>94</v>
      </c>
      <c r="H87" s="45" t="s">
        <v>35</v>
      </c>
      <c r="I87" s="31">
        <f t="shared" si="1"/>
        <v>123</v>
      </c>
      <c r="J87" s="52">
        <v>61.15</v>
      </c>
      <c r="K87" s="34">
        <f t="shared" si="2"/>
        <v>64.24100685</v>
      </c>
      <c r="L87" s="51">
        <v>12.0</v>
      </c>
      <c r="M87" s="51">
        <v>1500.0</v>
      </c>
      <c r="N87" s="51">
        <v>3000.0</v>
      </c>
      <c r="O87" s="51">
        <v>3.0</v>
      </c>
      <c r="P87" s="53">
        <v>1290.0</v>
      </c>
      <c r="Q87" s="38">
        <v>0.0</v>
      </c>
      <c r="R87" s="38">
        <v>0.0</v>
      </c>
      <c r="S87" s="38">
        <v>0.0</v>
      </c>
      <c r="T87" s="38">
        <f t="shared" si="3"/>
        <v>1290</v>
      </c>
      <c r="U87" s="39">
        <f t="shared" si="4"/>
        <v>46248</v>
      </c>
      <c r="V87" s="40">
        <f t="shared" si="5"/>
        <v>78883.5</v>
      </c>
      <c r="W87" s="42">
        <f t="shared" si="6"/>
        <v>3987.398836</v>
      </c>
      <c r="X87" s="69"/>
      <c r="Y87" s="69"/>
      <c r="Z87" s="69"/>
    </row>
    <row r="88" ht="15.75" customHeight="1">
      <c r="A88" s="44">
        <v>46179.0</v>
      </c>
      <c r="B88" s="49" t="s">
        <v>32</v>
      </c>
      <c r="C88" s="51">
        <v>788.0</v>
      </c>
      <c r="D88" s="51" t="s">
        <v>145</v>
      </c>
      <c r="E88" s="51">
        <v>788.0</v>
      </c>
      <c r="F88" s="51" t="s">
        <v>110</v>
      </c>
      <c r="G88" s="51" t="s">
        <v>94</v>
      </c>
      <c r="H88" s="45" t="s">
        <v>35</v>
      </c>
      <c r="I88" s="31">
        <f t="shared" si="1"/>
        <v>69</v>
      </c>
      <c r="J88" s="52">
        <v>65.35</v>
      </c>
      <c r="K88" s="34">
        <f t="shared" si="2"/>
        <v>67.20307534</v>
      </c>
      <c r="L88" s="51">
        <v>4.0</v>
      </c>
      <c r="M88" s="51">
        <v>1500.0</v>
      </c>
      <c r="N88" s="51">
        <v>3000.0</v>
      </c>
      <c r="O88" s="51">
        <v>2.0</v>
      </c>
      <c r="P88" s="53">
        <v>280.0</v>
      </c>
      <c r="Q88" s="38">
        <v>0.0</v>
      </c>
      <c r="R88" s="38">
        <v>0.0</v>
      </c>
      <c r="S88" s="38">
        <v>0.0</v>
      </c>
      <c r="T88" s="38">
        <f t="shared" si="3"/>
        <v>280</v>
      </c>
      <c r="U88" s="39">
        <f t="shared" si="4"/>
        <v>46248</v>
      </c>
      <c r="V88" s="40">
        <f t="shared" si="5"/>
        <v>18298</v>
      </c>
      <c r="W88" s="42">
        <f t="shared" si="6"/>
        <v>518.8610959</v>
      </c>
      <c r="X88" s="69"/>
      <c r="Y88" s="69"/>
      <c r="Z88" s="69"/>
    </row>
    <row r="89" ht="15.75" customHeight="1">
      <c r="A89" s="44">
        <v>46179.0</v>
      </c>
      <c r="B89" s="49" t="s">
        <v>32</v>
      </c>
      <c r="C89" s="51">
        <v>788.0</v>
      </c>
      <c r="D89" s="51" t="s">
        <v>145</v>
      </c>
      <c r="E89" s="51">
        <v>788.0</v>
      </c>
      <c r="F89" s="51" t="s">
        <v>110</v>
      </c>
      <c r="G89" s="51" t="s">
        <v>94</v>
      </c>
      <c r="H89" s="45" t="s">
        <v>35</v>
      </c>
      <c r="I89" s="31">
        <f t="shared" si="1"/>
        <v>69</v>
      </c>
      <c r="J89" s="52">
        <v>65.35</v>
      </c>
      <c r="K89" s="34">
        <f t="shared" si="2"/>
        <v>67.20307534</v>
      </c>
      <c r="L89" s="51">
        <v>4.0</v>
      </c>
      <c r="M89" s="51">
        <v>1500.0</v>
      </c>
      <c r="N89" s="51">
        <v>2500.0</v>
      </c>
      <c r="O89" s="51">
        <v>2.0</v>
      </c>
      <c r="P89" s="53">
        <v>240.0</v>
      </c>
      <c r="Q89" s="38">
        <v>0.0</v>
      </c>
      <c r="R89" s="38">
        <v>0.0</v>
      </c>
      <c r="S89" s="38">
        <v>0.0</v>
      </c>
      <c r="T89" s="38">
        <f t="shared" si="3"/>
        <v>240</v>
      </c>
      <c r="U89" s="39">
        <f t="shared" si="4"/>
        <v>46248</v>
      </c>
      <c r="V89" s="40">
        <f t="shared" si="5"/>
        <v>15684</v>
      </c>
      <c r="W89" s="42">
        <f t="shared" si="6"/>
        <v>444.7380822</v>
      </c>
      <c r="X89" s="69"/>
      <c r="Y89" s="69"/>
      <c r="Z89" s="69"/>
    </row>
    <row r="90" ht="15.75" customHeight="1">
      <c r="A90" s="44">
        <v>46175.0</v>
      </c>
      <c r="B90" s="49" t="s">
        <v>32</v>
      </c>
      <c r="C90" s="51">
        <v>788.0</v>
      </c>
      <c r="D90" s="51" t="s">
        <v>146</v>
      </c>
      <c r="E90" s="51">
        <v>788.0</v>
      </c>
      <c r="F90" s="51" t="s">
        <v>35</v>
      </c>
      <c r="G90" s="51" t="s">
        <v>124</v>
      </c>
      <c r="H90" s="49" t="s">
        <v>35</v>
      </c>
      <c r="I90" s="31">
        <f t="shared" si="1"/>
        <v>73</v>
      </c>
      <c r="J90" s="52">
        <v>60.0</v>
      </c>
      <c r="K90" s="34">
        <f t="shared" si="2"/>
        <v>61.8</v>
      </c>
      <c r="L90" s="51">
        <v>12.0</v>
      </c>
      <c r="M90" s="51">
        <v>1250.0</v>
      </c>
      <c r="N90" s="51">
        <v>12000.0</v>
      </c>
      <c r="O90" s="51">
        <v>1.0</v>
      </c>
      <c r="P90" s="53">
        <v>1110.0</v>
      </c>
      <c r="Q90" s="38">
        <v>0.0</v>
      </c>
      <c r="R90" s="38">
        <v>0.0</v>
      </c>
      <c r="S90" s="38">
        <v>0.0</v>
      </c>
      <c r="T90" s="38">
        <f t="shared" si="3"/>
        <v>1110</v>
      </c>
      <c r="U90" s="39">
        <f t="shared" si="4"/>
        <v>46248</v>
      </c>
      <c r="V90" s="40">
        <f t="shared" si="5"/>
        <v>66600</v>
      </c>
      <c r="W90" s="42">
        <f t="shared" si="6"/>
        <v>1998</v>
      </c>
      <c r="X90" s="69"/>
      <c r="Y90" s="69"/>
      <c r="Z90" s="69"/>
    </row>
    <row r="91" ht="15.75" customHeight="1">
      <c r="A91" s="44">
        <v>46175.0</v>
      </c>
      <c r="B91" s="49" t="s">
        <v>32</v>
      </c>
      <c r="C91" s="51">
        <v>788.0</v>
      </c>
      <c r="D91" s="51" t="s">
        <v>146</v>
      </c>
      <c r="E91" s="51">
        <v>788.0</v>
      </c>
      <c r="F91" s="51" t="s">
        <v>35</v>
      </c>
      <c r="G91" s="51" t="s">
        <v>124</v>
      </c>
      <c r="H91" s="49" t="s">
        <v>35</v>
      </c>
      <c r="I91" s="31">
        <f t="shared" si="1"/>
        <v>73</v>
      </c>
      <c r="J91" s="52">
        <v>60.0</v>
      </c>
      <c r="K91" s="34">
        <f t="shared" si="2"/>
        <v>61.8</v>
      </c>
      <c r="L91" s="51">
        <v>12.0</v>
      </c>
      <c r="M91" s="51">
        <v>1250.0</v>
      </c>
      <c r="N91" s="51">
        <v>7200.0</v>
      </c>
      <c r="O91" s="51">
        <v>1.0</v>
      </c>
      <c r="P91" s="53">
        <v>860.0</v>
      </c>
      <c r="Q91" s="38">
        <v>0.0</v>
      </c>
      <c r="R91" s="38">
        <v>0.0</v>
      </c>
      <c r="S91" s="38">
        <v>0.0</v>
      </c>
      <c r="T91" s="38">
        <f t="shared" si="3"/>
        <v>860</v>
      </c>
      <c r="U91" s="39">
        <f t="shared" si="4"/>
        <v>46248</v>
      </c>
      <c r="V91" s="40">
        <f t="shared" si="5"/>
        <v>51600</v>
      </c>
      <c r="W91" s="42">
        <f t="shared" si="6"/>
        <v>1548</v>
      </c>
      <c r="X91" s="69"/>
      <c r="Y91" s="69"/>
      <c r="Z91" s="69"/>
    </row>
    <row r="92" ht="15.75" hidden="1" customHeight="1">
      <c r="A92" s="44">
        <v>46176.0</v>
      </c>
      <c r="B92" s="45" t="s">
        <v>138</v>
      </c>
      <c r="C92" s="46">
        <v>788.0</v>
      </c>
      <c r="D92" s="46" t="s">
        <v>93</v>
      </c>
      <c r="E92" s="46">
        <v>788.0</v>
      </c>
      <c r="F92" s="46" t="s">
        <v>35</v>
      </c>
      <c r="G92" s="46" t="s">
        <v>72</v>
      </c>
      <c r="H92" s="46" t="s">
        <v>101</v>
      </c>
      <c r="I92" s="31">
        <f t="shared" si="1"/>
        <v>72</v>
      </c>
      <c r="J92" s="52">
        <v>61.21</v>
      </c>
      <c r="K92" s="34">
        <f t="shared" si="2"/>
        <v>63.02114521</v>
      </c>
      <c r="L92" s="46">
        <v>5.0</v>
      </c>
      <c r="M92" s="46">
        <v>2000.0</v>
      </c>
      <c r="N92" s="46">
        <v>3700.0</v>
      </c>
      <c r="O92" s="46">
        <v>1.0</v>
      </c>
      <c r="P92" s="36">
        <v>290.0</v>
      </c>
      <c r="Q92" s="38">
        <v>0.0</v>
      </c>
      <c r="R92" s="38">
        <v>0.0</v>
      </c>
      <c r="S92" s="38">
        <v>0.0</v>
      </c>
      <c r="T92" s="38">
        <f t="shared" si="3"/>
        <v>290</v>
      </c>
      <c r="U92" s="39">
        <f t="shared" si="4"/>
        <v>46248</v>
      </c>
      <c r="V92" s="40">
        <f t="shared" si="5"/>
        <v>17750.9</v>
      </c>
      <c r="W92" s="42">
        <f t="shared" si="6"/>
        <v>525.2321096</v>
      </c>
      <c r="X92" s="69"/>
      <c r="Y92" s="69"/>
      <c r="Z92" s="69"/>
    </row>
    <row r="93" ht="15.75" hidden="1" customHeight="1">
      <c r="A93" s="44">
        <v>46176.0</v>
      </c>
      <c r="B93" s="45" t="s">
        <v>138</v>
      </c>
      <c r="C93" s="46">
        <v>788.0</v>
      </c>
      <c r="D93" s="46" t="s">
        <v>147</v>
      </c>
      <c r="E93" s="46">
        <v>788.0</v>
      </c>
      <c r="F93" s="46" t="s">
        <v>35</v>
      </c>
      <c r="G93" s="46" t="s">
        <v>72</v>
      </c>
      <c r="H93" s="46" t="s">
        <v>101</v>
      </c>
      <c r="I93" s="31">
        <f t="shared" si="1"/>
        <v>72</v>
      </c>
      <c r="J93" s="52">
        <v>57.9</v>
      </c>
      <c r="K93" s="34">
        <f t="shared" si="2"/>
        <v>59.61320548</v>
      </c>
      <c r="L93" s="46">
        <v>6.0</v>
      </c>
      <c r="M93" s="46">
        <v>1250.0</v>
      </c>
      <c r="N93" s="46">
        <v>2900.0</v>
      </c>
      <c r="O93" s="46">
        <v>0.0</v>
      </c>
      <c r="P93" s="36">
        <v>170.0</v>
      </c>
      <c r="Q93" s="38">
        <v>0.0</v>
      </c>
      <c r="R93" s="38">
        <v>0.0</v>
      </c>
      <c r="S93" s="38">
        <v>0.0</v>
      </c>
      <c r="T93" s="38">
        <f t="shared" si="3"/>
        <v>170</v>
      </c>
      <c r="U93" s="39">
        <f t="shared" si="4"/>
        <v>46248</v>
      </c>
      <c r="V93" s="40">
        <f t="shared" si="5"/>
        <v>9843</v>
      </c>
      <c r="W93" s="42">
        <f t="shared" si="6"/>
        <v>291.2449315</v>
      </c>
      <c r="X93" s="69"/>
      <c r="Y93" s="69"/>
      <c r="Z93" s="69"/>
    </row>
    <row r="94" ht="15.75" hidden="1" customHeight="1">
      <c r="A94" s="44">
        <v>46094.0</v>
      </c>
      <c r="B94" s="49" t="s">
        <v>32</v>
      </c>
      <c r="C94" s="46">
        <v>788.0</v>
      </c>
      <c r="D94" s="46" t="s">
        <v>40</v>
      </c>
      <c r="E94" s="46">
        <v>788.0</v>
      </c>
      <c r="F94" s="46" t="s">
        <v>40</v>
      </c>
      <c r="G94" s="46" t="s">
        <v>95</v>
      </c>
      <c r="H94" s="45" t="s">
        <v>35</v>
      </c>
      <c r="I94" s="31">
        <f t="shared" si="1"/>
        <v>154</v>
      </c>
      <c r="J94" s="52">
        <v>94.3</v>
      </c>
      <c r="K94" s="34" t="str">
        <f t="shared" si="2"/>
        <v>#DIV/0!</v>
      </c>
      <c r="L94" s="46">
        <v>16.0</v>
      </c>
      <c r="M94" s="46">
        <v>2000.0</v>
      </c>
      <c r="N94" s="46">
        <v>3000.0</v>
      </c>
      <c r="O94" s="46">
        <v>1.0</v>
      </c>
      <c r="P94" s="36">
        <v>0.0</v>
      </c>
      <c r="Q94" s="38">
        <v>0.0</v>
      </c>
      <c r="R94" s="38">
        <v>0.0</v>
      </c>
      <c r="S94" s="38">
        <v>0.0</v>
      </c>
      <c r="T94" s="38">
        <f t="shared" si="3"/>
        <v>0</v>
      </c>
      <c r="U94" s="39">
        <f t="shared" si="4"/>
        <v>46248</v>
      </c>
      <c r="V94" s="40">
        <f t="shared" si="5"/>
        <v>0</v>
      </c>
      <c r="W94" s="42">
        <f t="shared" si="6"/>
        <v>0</v>
      </c>
    </row>
    <row r="95" ht="15.75" customHeight="1">
      <c r="A95" s="44">
        <v>46161.0</v>
      </c>
      <c r="B95" s="49" t="s">
        <v>32</v>
      </c>
      <c r="C95" s="46">
        <v>788.0</v>
      </c>
      <c r="D95" s="46" t="s">
        <v>55</v>
      </c>
      <c r="E95" s="46">
        <v>788.0</v>
      </c>
      <c r="F95" s="46" t="s">
        <v>49</v>
      </c>
      <c r="G95" s="46" t="s">
        <v>85</v>
      </c>
      <c r="H95" s="45" t="s">
        <v>35</v>
      </c>
      <c r="I95" s="31">
        <f t="shared" si="1"/>
        <v>87</v>
      </c>
      <c r="J95" s="52">
        <v>98.0</v>
      </c>
      <c r="K95" s="34" t="str">
        <f t="shared" si="2"/>
        <v>#DIV/0!</v>
      </c>
      <c r="L95" s="46">
        <v>16.0</v>
      </c>
      <c r="M95" s="46">
        <v>2000.0</v>
      </c>
      <c r="N95" s="46">
        <v>6000.0</v>
      </c>
      <c r="O95" s="46">
        <v>1.0</v>
      </c>
      <c r="P95" s="36">
        <v>0.0</v>
      </c>
      <c r="Q95" s="38">
        <v>0.0</v>
      </c>
      <c r="R95" s="38">
        <v>0.0</v>
      </c>
      <c r="S95" s="38">
        <v>0.0</v>
      </c>
      <c r="T95" s="38">
        <f t="shared" si="3"/>
        <v>0</v>
      </c>
      <c r="U95" s="39">
        <f t="shared" si="4"/>
        <v>46248</v>
      </c>
      <c r="V95" s="40">
        <f t="shared" si="5"/>
        <v>0</v>
      </c>
      <c r="W95" s="42">
        <f t="shared" si="6"/>
        <v>0</v>
      </c>
      <c r="X95" s="69"/>
      <c r="Y95" s="69"/>
      <c r="Z95" s="69"/>
    </row>
    <row r="96" ht="15.75" customHeight="1">
      <c r="A96" s="44">
        <v>46146.0</v>
      </c>
      <c r="B96" s="49" t="s">
        <v>32</v>
      </c>
      <c r="C96" s="46">
        <v>788.0</v>
      </c>
      <c r="D96" s="46" t="s">
        <v>55</v>
      </c>
      <c r="E96" s="46" t="s">
        <v>55</v>
      </c>
      <c r="F96" s="46" t="s">
        <v>49</v>
      </c>
      <c r="G96" s="46" t="s">
        <v>85</v>
      </c>
      <c r="H96" s="45" t="s">
        <v>35</v>
      </c>
      <c r="I96" s="31">
        <f t="shared" si="1"/>
        <v>102</v>
      </c>
      <c r="J96" s="52">
        <v>98.5</v>
      </c>
      <c r="K96" s="34">
        <f t="shared" si="2"/>
        <v>102.6289041</v>
      </c>
      <c r="L96" s="46">
        <v>20.0</v>
      </c>
      <c r="M96" s="46">
        <v>2500.0</v>
      </c>
      <c r="N96" s="46">
        <v>12000.0</v>
      </c>
      <c r="O96" s="46">
        <v>2.0</v>
      </c>
      <c r="P96" s="36">
        <v>9600.0</v>
      </c>
      <c r="Q96" s="38">
        <v>0.0</v>
      </c>
      <c r="R96" s="38">
        <v>0.0</v>
      </c>
      <c r="S96" s="38">
        <v>0.0</v>
      </c>
      <c r="T96" s="38">
        <f t="shared" si="3"/>
        <v>9600</v>
      </c>
      <c r="U96" s="39">
        <f t="shared" si="4"/>
        <v>46248</v>
      </c>
      <c r="V96" s="40">
        <f t="shared" si="5"/>
        <v>945600</v>
      </c>
      <c r="W96" s="42">
        <f t="shared" si="6"/>
        <v>39637.47945</v>
      </c>
      <c r="X96" s="69"/>
      <c r="Y96" s="69"/>
      <c r="Z96" s="69"/>
    </row>
    <row r="97" ht="15.75" customHeight="1">
      <c r="A97" s="44">
        <v>46146.0</v>
      </c>
      <c r="B97" s="49" t="s">
        <v>32</v>
      </c>
      <c r="C97" s="46">
        <v>788.0</v>
      </c>
      <c r="D97" s="46" t="s">
        <v>55</v>
      </c>
      <c r="E97" s="46" t="s">
        <v>55</v>
      </c>
      <c r="F97" s="46" t="s">
        <v>49</v>
      </c>
      <c r="G97" s="46" t="s">
        <v>85</v>
      </c>
      <c r="H97" s="45" t="s">
        <v>35</v>
      </c>
      <c r="I97" s="31">
        <f t="shared" si="1"/>
        <v>102</v>
      </c>
      <c r="J97" s="52">
        <v>98.5</v>
      </c>
      <c r="K97" s="34">
        <f t="shared" si="2"/>
        <v>102.6289041</v>
      </c>
      <c r="L97" s="46">
        <v>20.0</v>
      </c>
      <c r="M97" s="46">
        <v>2500.0</v>
      </c>
      <c r="N97" s="46">
        <v>12000.0</v>
      </c>
      <c r="O97" s="46">
        <v>1.0</v>
      </c>
      <c r="P97" s="36">
        <v>4800.0</v>
      </c>
      <c r="Q97" s="38">
        <v>0.0</v>
      </c>
      <c r="R97" s="38">
        <v>0.0</v>
      </c>
      <c r="S97" s="38">
        <v>0.0</v>
      </c>
      <c r="T97" s="38">
        <f t="shared" si="3"/>
        <v>4800</v>
      </c>
      <c r="U97" s="39">
        <f t="shared" si="4"/>
        <v>46248</v>
      </c>
      <c r="V97" s="40">
        <f t="shared" si="5"/>
        <v>472800</v>
      </c>
      <c r="W97" s="42">
        <f t="shared" si="6"/>
        <v>19818.73973</v>
      </c>
      <c r="X97" s="69"/>
      <c r="Y97" s="69"/>
      <c r="Z97" s="69"/>
    </row>
    <row r="98" ht="15.75" customHeight="1">
      <c r="A98" s="44">
        <v>46143.0</v>
      </c>
      <c r="B98" s="49" t="s">
        <v>32</v>
      </c>
      <c r="C98" s="46">
        <v>788.0</v>
      </c>
      <c r="D98" s="46" t="s">
        <v>55</v>
      </c>
      <c r="E98" s="46" t="s">
        <v>55</v>
      </c>
      <c r="F98" s="46" t="s">
        <v>49</v>
      </c>
      <c r="G98" s="46" t="s">
        <v>85</v>
      </c>
      <c r="H98" s="45" t="s">
        <v>35</v>
      </c>
      <c r="I98" s="31">
        <f t="shared" si="1"/>
        <v>105</v>
      </c>
      <c r="J98" s="52">
        <v>99.7</v>
      </c>
      <c r="K98" s="34">
        <f t="shared" si="2"/>
        <v>104.0021233</v>
      </c>
      <c r="L98" s="46">
        <v>12.0</v>
      </c>
      <c r="M98" s="46">
        <v>2500.0</v>
      </c>
      <c r="N98" s="46">
        <v>12000.0</v>
      </c>
      <c r="O98" s="46">
        <v>1.0</v>
      </c>
      <c r="P98" s="36">
        <v>2965.0</v>
      </c>
      <c r="Q98" s="38">
        <v>0.0</v>
      </c>
      <c r="R98" s="38">
        <v>0.0</v>
      </c>
      <c r="S98" s="38">
        <v>0.0</v>
      </c>
      <c r="T98" s="38">
        <f t="shared" si="3"/>
        <v>2965</v>
      </c>
      <c r="U98" s="39">
        <f t="shared" si="4"/>
        <v>46248</v>
      </c>
      <c r="V98" s="40">
        <f t="shared" si="5"/>
        <v>295610.5</v>
      </c>
      <c r="W98" s="42">
        <f t="shared" si="6"/>
        <v>12755.79555</v>
      </c>
      <c r="X98" s="69"/>
      <c r="Y98" s="69"/>
      <c r="Z98" s="69"/>
    </row>
    <row r="99" ht="15.75" customHeight="1">
      <c r="A99" s="44">
        <v>46143.0</v>
      </c>
      <c r="B99" s="49" t="s">
        <v>32</v>
      </c>
      <c r="C99" s="46">
        <v>788.0</v>
      </c>
      <c r="D99" s="46" t="s">
        <v>55</v>
      </c>
      <c r="E99" s="46" t="s">
        <v>55</v>
      </c>
      <c r="F99" s="46" t="s">
        <v>49</v>
      </c>
      <c r="G99" s="46" t="s">
        <v>85</v>
      </c>
      <c r="H99" s="45" t="s">
        <v>35</v>
      </c>
      <c r="I99" s="31">
        <f t="shared" si="1"/>
        <v>105</v>
      </c>
      <c r="J99" s="52">
        <v>99.7</v>
      </c>
      <c r="K99" s="34">
        <f t="shared" si="2"/>
        <v>104.0021233</v>
      </c>
      <c r="L99" s="46">
        <v>12.0</v>
      </c>
      <c r="M99" s="46">
        <v>2500.0</v>
      </c>
      <c r="N99" s="46">
        <v>12000.0</v>
      </c>
      <c r="O99" s="46">
        <v>5.0</v>
      </c>
      <c r="P99" s="36">
        <v>14784.0</v>
      </c>
      <c r="Q99" s="38">
        <v>0.0</v>
      </c>
      <c r="R99" s="38">
        <v>0.0</v>
      </c>
      <c r="S99" s="38">
        <v>0.0</v>
      </c>
      <c r="T99" s="38">
        <f t="shared" si="3"/>
        <v>14784</v>
      </c>
      <c r="U99" s="39">
        <f t="shared" si="4"/>
        <v>46248</v>
      </c>
      <c r="V99" s="40">
        <f t="shared" si="5"/>
        <v>1473964.8</v>
      </c>
      <c r="W99" s="42">
        <f t="shared" si="6"/>
        <v>63602.59068</v>
      </c>
      <c r="X99" s="69"/>
      <c r="Y99" s="69"/>
      <c r="Z99" s="69"/>
    </row>
    <row r="100" ht="15.75" hidden="1" customHeight="1">
      <c r="A100" s="44">
        <v>46170.0</v>
      </c>
      <c r="B100" s="49" t="s">
        <v>32</v>
      </c>
      <c r="C100" s="46" t="s">
        <v>75</v>
      </c>
      <c r="D100" s="46" t="s">
        <v>40</v>
      </c>
      <c r="E100" s="46" t="s">
        <v>75</v>
      </c>
      <c r="F100" s="46" t="s">
        <v>40</v>
      </c>
      <c r="G100" s="46" t="s">
        <v>95</v>
      </c>
      <c r="H100" s="45" t="s">
        <v>115</v>
      </c>
      <c r="I100" s="31">
        <f t="shared" si="1"/>
        <v>78</v>
      </c>
      <c r="J100" s="52">
        <v>89.8</v>
      </c>
      <c r="K100" s="34">
        <f t="shared" si="2"/>
        <v>92.67852055</v>
      </c>
      <c r="L100" s="46">
        <v>12.0</v>
      </c>
      <c r="M100" s="46">
        <v>2000.0</v>
      </c>
      <c r="N100" s="46">
        <v>6000.0</v>
      </c>
      <c r="O100" s="46">
        <v>10.0</v>
      </c>
      <c r="P100" s="36">
        <v>11826.0</v>
      </c>
      <c r="Q100" s="38">
        <v>0.0</v>
      </c>
      <c r="R100" s="38">
        <v>0.0</v>
      </c>
      <c r="S100" s="38">
        <v>0.0</v>
      </c>
      <c r="T100" s="38">
        <f t="shared" si="3"/>
        <v>11826</v>
      </c>
      <c r="U100" s="39">
        <f t="shared" si="4"/>
        <v>46248</v>
      </c>
      <c r="V100" s="40">
        <f t="shared" si="5"/>
        <v>1061974.8</v>
      </c>
      <c r="W100" s="42">
        <f t="shared" si="6"/>
        <v>34041.384</v>
      </c>
      <c r="X100" s="69"/>
      <c r="Y100" s="69"/>
      <c r="Z100" s="69"/>
    </row>
    <row r="101" ht="15.75" hidden="1" customHeight="1">
      <c r="A101" s="44">
        <v>46175.0</v>
      </c>
      <c r="B101" s="49" t="s">
        <v>32</v>
      </c>
      <c r="C101" s="46" t="s">
        <v>75</v>
      </c>
      <c r="D101" s="46" t="s">
        <v>40</v>
      </c>
      <c r="E101" s="46" t="s">
        <v>75</v>
      </c>
      <c r="F101" s="46" t="s">
        <v>40</v>
      </c>
      <c r="G101" s="46" t="s">
        <v>95</v>
      </c>
      <c r="H101" s="45" t="s">
        <v>76</v>
      </c>
      <c r="I101" s="31">
        <f t="shared" si="1"/>
        <v>73</v>
      </c>
      <c r="J101" s="52">
        <v>98.74</v>
      </c>
      <c r="K101" s="34">
        <f t="shared" si="2"/>
        <v>101.7022</v>
      </c>
      <c r="L101" s="46">
        <v>25.0</v>
      </c>
      <c r="M101" s="46">
        <v>2000.0</v>
      </c>
      <c r="N101" s="46">
        <v>6000.0</v>
      </c>
      <c r="O101" s="46">
        <v>1.0</v>
      </c>
      <c r="P101" s="36">
        <v>2428.0</v>
      </c>
      <c r="Q101" s="38">
        <v>0.0</v>
      </c>
      <c r="R101" s="38">
        <v>0.0</v>
      </c>
      <c r="S101" s="38">
        <v>0.0</v>
      </c>
      <c r="T101" s="38">
        <f t="shared" si="3"/>
        <v>2428</v>
      </c>
      <c r="U101" s="39">
        <f t="shared" si="4"/>
        <v>46248</v>
      </c>
      <c r="V101" s="40">
        <f t="shared" si="5"/>
        <v>239740.72</v>
      </c>
      <c r="W101" s="42">
        <f t="shared" si="6"/>
        <v>7192.2216</v>
      </c>
      <c r="X101" s="69"/>
      <c r="Y101" s="69"/>
      <c r="Z101" s="69"/>
    </row>
    <row r="102" ht="15.75" hidden="1" customHeight="1">
      <c r="A102" s="44">
        <v>46175.0</v>
      </c>
      <c r="B102" s="49" t="s">
        <v>32</v>
      </c>
      <c r="C102" s="46" t="s">
        <v>75</v>
      </c>
      <c r="D102" s="46" t="s">
        <v>40</v>
      </c>
      <c r="E102" s="46" t="s">
        <v>75</v>
      </c>
      <c r="F102" s="46" t="s">
        <v>40</v>
      </c>
      <c r="G102" s="46" t="s">
        <v>95</v>
      </c>
      <c r="H102" s="45" t="s">
        <v>35</v>
      </c>
      <c r="I102" s="31">
        <f t="shared" si="1"/>
        <v>73</v>
      </c>
      <c r="J102" s="52">
        <v>101.34</v>
      </c>
      <c r="K102" s="34">
        <f t="shared" si="2"/>
        <v>104.3802</v>
      </c>
      <c r="L102" s="46">
        <v>40.0</v>
      </c>
      <c r="M102" s="46">
        <v>2000.0</v>
      </c>
      <c r="N102" s="46">
        <v>6000.0</v>
      </c>
      <c r="O102" s="46">
        <v>1.0</v>
      </c>
      <c r="P102" s="60">
        <v>3800.0</v>
      </c>
      <c r="Q102" s="38">
        <v>0.0</v>
      </c>
      <c r="R102" s="38">
        <v>0.0</v>
      </c>
      <c r="S102" s="38">
        <v>0.0</v>
      </c>
      <c r="T102" s="38">
        <f t="shared" si="3"/>
        <v>3800</v>
      </c>
      <c r="U102" s="39">
        <f t="shared" si="4"/>
        <v>46248</v>
      </c>
      <c r="V102" s="40">
        <f t="shared" si="5"/>
        <v>385092</v>
      </c>
      <c r="W102" s="42">
        <f t="shared" si="6"/>
        <v>11552.76</v>
      </c>
      <c r="X102" s="69"/>
      <c r="Y102" s="69"/>
      <c r="Z102" s="69"/>
    </row>
    <row r="103" ht="15.75" customHeight="1">
      <c r="A103" s="44">
        <v>46168.0</v>
      </c>
      <c r="B103" s="49" t="s">
        <v>32</v>
      </c>
      <c r="C103" s="46">
        <v>788.0</v>
      </c>
      <c r="D103" s="46" t="s">
        <v>55</v>
      </c>
      <c r="E103" s="46">
        <v>788.0</v>
      </c>
      <c r="F103" s="46" t="s">
        <v>49</v>
      </c>
      <c r="G103" s="46" t="s">
        <v>85</v>
      </c>
      <c r="H103" s="45" t="s">
        <v>35</v>
      </c>
      <c r="I103" s="31">
        <f t="shared" si="1"/>
        <v>80</v>
      </c>
      <c r="J103" s="52">
        <v>119.0</v>
      </c>
      <c r="K103" s="34">
        <f t="shared" si="2"/>
        <v>122.9123288</v>
      </c>
      <c r="L103" s="46">
        <v>60.0</v>
      </c>
      <c r="M103" s="46">
        <v>2000.0</v>
      </c>
      <c r="N103" s="46">
        <v>4100.0</v>
      </c>
      <c r="O103" s="46">
        <v>1.0</v>
      </c>
      <c r="P103" s="36">
        <v>3936.0</v>
      </c>
      <c r="Q103" s="38">
        <v>0.0</v>
      </c>
      <c r="R103" s="38">
        <v>0.0</v>
      </c>
      <c r="S103" s="38">
        <v>0.0</v>
      </c>
      <c r="T103" s="38">
        <f t="shared" si="3"/>
        <v>3936</v>
      </c>
      <c r="U103" s="39">
        <f t="shared" si="4"/>
        <v>46248</v>
      </c>
      <c r="V103" s="40">
        <f t="shared" si="5"/>
        <v>468384</v>
      </c>
      <c r="W103" s="42">
        <f t="shared" si="6"/>
        <v>15398.92603</v>
      </c>
      <c r="X103" s="69"/>
      <c r="Y103" s="69"/>
      <c r="Z103" s="69"/>
    </row>
    <row r="104" ht="15.75" hidden="1" customHeight="1">
      <c r="A104" s="44">
        <v>46175.0</v>
      </c>
      <c r="B104" s="49" t="s">
        <v>32</v>
      </c>
      <c r="C104" s="46">
        <v>788.0</v>
      </c>
      <c r="D104" s="46" t="s">
        <v>40</v>
      </c>
      <c r="E104" s="46">
        <v>788.0</v>
      </c>
      <c r="F104" s="46" t="s">
        <v>40</v>
      </c>
      <c r="G104" s="46" t="s">
        <v>95</v>
      </c>
      <c r="H104" s="45" t="s">
        <v>35</v>
      </c>
      <c r="I104" s="31">
        <f t="shared" si="1"/>
        <v>73</v>
      </c>
      <c r="J104" s="52">
        <v>98.0</v>
      </c>
      <c r="K104" s="34">
        <f t="shared" si="2"/>
        <v>100.94</v>
      </c>
      <c r="L104" s="46">
        <v>28.0</v>
      </c>
      <c r="M104" s="46">
        <v>2000.0</v>
      </c>
      <c r="N104" s="46">
        <v>6000.0</v>
      </c>
      <c r="O104" s="46">
        <v>1.0</v>
      </c>
      <c r="P104" s="36">
        <v>2720.0</v>
      </c>
      <c r="Q104" s="38">
        <v>0.0</v>
      </c>
      <c r="R104" s="38">
        <v>0.0</v>
      </c>
      <c r="S104" s="38">
        <v>0.0</v>
      </c>
      <c r="T104" s="38">
        <f t="shared" si="3"/>
        <v>2720</v>
      </c>
      <c r="U104" s="39">
        <f t="shared" si="4"/>
        <v>46248</v>
      </c>
      <c r="V104" s="40">
        <f t="shared" si="5"/>
        <v>266560</v>
      </c>
      <c r="W104" s="42">
        <f t="shared" si="6"/>
        <v>7996.8</v>
      </c>
      <c r="X104" s="69"/>
      <c r="Y104" s="69"/>
      <c r="Z104" s="69"/>
    </row>
    <row r="105" ht="15.75" hidden="1" customHeight="1">
      <c r="A105" s="44">
        <v>46178.0</v>
      </c>
      <c r="B105" s="49" t="s">
        <v>32</v>
      </c>
      <c r="C105" s="46" t="s">
        <v>75</v>
      </c>
      <c r="D105" s="46" t="s">
        <v>40</v>
      </c>
      <c r="E105" s="46" t="s">
        <v>75</v>
      </c>
      <c r="F105" s="46" t="s">
        <v>40</v>
      </c>
      <c r="G105" s="46" t="s">
        <v>130</v>
      </c>
      <c r="H105" s="45" t="s">
        <v>76</v>
      </c>
      <c r="I105" s="31">
        <f t="shared" si="1"/>
        <v>70</v>
      </c>
      <c r="J105" s="52">
        <v>103.12</v>
      </c>
      <c r="K105" s="34">
        <f t="shared" si="2"/>
        <v>106.0864658</v>
      </c>
      <c r="L105" s="46">
        <v>40.0</v>
      </c>
      <c r="M105" s="46">
        <v>2000.0</v>
      </c>
      <c r="N105" s="46">
        <v>6000.0</v>
      </c>
      <c r="O105" s="46">
        <v>3.0</v>
      </c>
      <c r="P105" s="36">
        <v>11580.0</v>
      </c>
      <c r="Q105" s="38">
        <v>0.0</v>
      </c>
      <c r="R105" s="38">
        <v>0.0</v>
      </c>
      <c r="S105" s="38">
        <v>0.0</v>
      </c>
      <c r="T105" s="38">
        <f t="shared" si="3"/>
        <v>11580</v>
      </c>
      <c r="U105" s="39">
        <f t="shared" si="4"/>
        <v>46248</v>
      </c>
      <c r="V105" s="40">
        <f t="shared" si="5"/>
        <v>1194129.6</v>
      </c>
      <c r="W105" s="42">
        <f t="shared" si="6"/>
        <v>34351.67342</v>
      </c>
      <c r="X105" s="69"/>
      <c r="Y105" s="69"/>
      <c r="Z105" s="69"/>
    </row>
    <row r="106" ht="15.75" customHeight="1">
      <c r="A106" s="44">
        <v>46146.0</v>
      </c>
      <c r="B106" s="49" t="s">
        <v>32</v>
      </c>
      <c r="C106" s="46">
        <v>788.0</v>
      </c>
      <c r="D106" s="46" t="s">
        <v>55</v>
      </c>
      <c r="E106" s="46">
        <v>788.0</v>
      </c>
      <c r="F106" s="46" t="s">
        <v>49</v>
      </c>
      <c r="G106" s="46" t="s">
        <v>13</v>
      </c>
      <c r="H106" s="45" t="s">
        <v>35</v>
      </c>
      <c r="I106" s="31">
        <f t="shared" si="1"/>
        <v>102</v>
      </c>
      <c r="J106" s="52">
        <v>100.5</v>
      </c>
      <c r="K106" s="34">
        <f t="shared" si="2"/>
        <v>104.7127397</v>
      </c>
      <c r="L106" s="46">
        <v>25.0</v>
      </c>
      <c r="M106" s="46">
        <v>2500.0</v>
      </c>
      <c r="N106" s="46">
        <v>6000.0</v>
      </c>
      <c r="O106" s="46">
        <v>1.0</v>
      </c>
      <c r="P106" s="60">
        <v>3007.0</v>
      </c>
      <c r="Q106" s="38">
        <v>0.0</v>
      </c>
      <c r="R106" s="38">
        <v>0.0</v>
      </c>
      <c r="S106" s="38">
        <v>0.0</v>
      </c>
      <c r="T106" s="38">
        <f t="shared" si="3"/>
        <v>3007</v>
      </c>
      <c r="U106" s="39">
        <f t="shared" si="4"/>
        <v>46248</v>
      </c>
      <c r="V106" s="40">
        <f t="shared" si="5"/>
        <v>302203.5</v>
      </c>
      <c r="W106" s="42">
        <f t="shared" si="6"/>
        <v>12667.70836</v>
      </c>
      <c r="X106" s="69"/>
      <c r="Y106" s="69"/>
      <c r="Z106" s="69"/>
    </row>
    <row r="107" ht="15.75" customHeight="1">
      <c r="A107" s="44">
        <v>46147.0</v>
      </c>
      <c r="B107" s="49" t="s">
        <v>32</v>
      </c>
      <c r="C107" s="46">
        <v>788.0</v>
      </c>
      <c r="D107" s="46" t="s">
        <v>55</v>
      </c>
      <c r="E107" s="46">
        <v>788.0</v>
      </c>
      <c r="F107" s="46" t="s">
        <v>49</v>
      </c>
      <c r="G107" s="46" t="s">
        <v>13</v>
      </c>
      <c r="H107" s="45" t="s">
        <v>35</v>
      </c>
      <c r="I107" s="31">
        <f t="shared" si="1"/>
        <v>101</v>
      </c>
      <c r="J107" s="52">
        <v>100.5</v>
      </c>
      <c r="K107" s="34">
        <f t="shared" si="2"/>
        <v>104.6714384</v>
      </c>
      <c r="L107" s="46">
        <v>25.0</v>
      </c>
      <c r="M107" s="46">
        <v>2500.0</v>
      </c>
      <c r="N107" s="46">
        <v>12000.0</v>
      </c>
      <c r="O107" s="46">
        <v>3.0</v>
      </c>
      <c r="P107" s="60">
        <v>18060.0</v>
      </c>
      <c r="Q107" s="38">
        <v>0.0</v>
      </c>
      <c r="R107" s="38">
        <v>0.0</v>
      </c>
      <c r="S107" s="38">
        <v>0.0</v>
      </c>
      <c r="T107" s="38">
        <f t="shared" si="3"/>
        <v>18060</v>
      </c>
      <c r="U107" s="39">
        <f t="shared" si="4"/>
        <v>46248</v>
      </c>
      <c r="V107" s="40">
        <f t="shared" si="5"/>
        <v>1815030</v>
      </c>
      <c r="W107" s="42">
        <f t="shared" si="6"/>
        <v>75336.17671</v>
      </c>
      <c r="X107" s="69"/>
      <c r="Y107" s="69"/>
      <c r="Z107" s="69"/>
    </row>
    <row r="108" ht="15.75" customHeight="1">
      <c r="A108" s="44">
        <v>46147.0</v>
      </c>
      <c r="B108" s="49" t="s">
        <v>32</v>
      </c>
      <c r="C108" s="46">
        <v>788.0</v>
      </c>
      <c r="D108" s="46" t="s">
        <v>55</v>
      </c>
      <c r="E108" s="46">
        <v>788.0</v>
      </c>
      <c r="F108" s="46" t="s">
        <v>49</v>
      </c>
      <c r="G108" s="46" t="s">
        <v>13</v>
      </c>
      <c r="H108" s="45" t="s">
        <v>35</v>
      </c>
      <c r="I108" s="31">
        <f t="shared" si="1"/>
        <v>101</v>
      </c>
      <c r="J108" s="52">
        <v>100.5</v>
      </c>
      <c r="K108" s="34">
        <f t="shared" si="2"/>
        <v>104.6714384</v>
      </c>
      <c r="L108" s="46">
        <v>25.0</v>
      </c>
      <c r="M108" s="46">
        <v>2500.0</v>
      </c>
      <c r="N108" s="46">
        <v>12000.0</v>
      </c>
      <c r="O108" s="46">
        <v>2.0</v>
      </c>
      <c r="P108" s="60">
        <v>12014.0</v>
      </c>
      <c r="Q108" s="38">
        <v>0.0</v>
      </c>
      <c r="R108" s="38">
        <v>0.0</v>
      </c>
      <c r="S108" s="38">
        <v>0.0</v>
      </c>
      <c r="T108" s="38">
        <f t="shared" si="3"/>
        <v>12014</v>
      </c>
      <c r="U108" s="39">
        <f t="shared" si="4"/>
        <v>46248</v>
      </c>
      <c r="V108" s="40">
        <f t="shared" si="5"/>
        <v>1207407</v>
      </c>
      <c r="W108" s="42">
        <f t="shared" si="6"/>
        <v>50115.66041</v>
      </c>
      <c r="X108" s="69"/>
      <c r="Y108" s="69"/>
      <c r="Z108" s="69"/>
    </row>
    <row r="109" ht="15.75" customHeight="1">
      <c r="A109" s="44">
        <v>46182.0</v>
      </c>
      <c r="B109" s="49" t="s">
        <v>32</v>
      </c>
      <c r="C109" s="46" t="s">
        <v>142</v>
      </c>
      <c r="D109" s="46" t="s">
        <v>40</v>
      </c>
      <c r="E109" s="46" t="s">
        <v>142</v>
      </c>
      <c r="F109" s="46" t="s">
        <v>40</v>
      </c>
      <c r="G109" s="46" t="s">
        <v>143</v>
      </c>
      <c r="H109" s="45" t="s">
        <v>76</v>
      </c>
      <c r="I109" s="31">
        <f t="shared" si="1"/>
        <v>66</v>
      </c>
      <c r="J109" s="52">
        <v>71.33</v>
      </c>
      <c r="K109" s="34">
        <f t="shared" si="2"/>
        <v>73.26470411</v>
      </c>
      <c r="L109" s="46">
        <v>10.0</v>
      </c>
      <c r="M109" s="46">
        <v>2500.0</v>
      </c>
      <c r="N109" s="46">
        <v>6300.0</v>
      </c>
      <c r="O109" s="46">
        <v>6.0</v>
      </c>
      <c r="P109" s="36">
        <v>6966.0</v>
      </c>
      <c r="Q109" s="38">
        <v>0.0</v>
      </c>
      <c r="R109" s="38">
        <v>0.0</v>
      </c>
      <c r="S109" s="38">
        <v>0.0</v>
      </c>
      <c r="T109" s="38">
        <f t="shared" si="3"/>
        <v>6966</v>
      </c>
      <c r="U109" s="39">
        <f t="shared" si="4"/>
        <v>46248</v>
      </c>
      <c r="V109" s="40">
        <f t="shared" si="5"/>
        <v>496884.78</v>
      </c>
      <c r="W109" s="42">
        <f t="shared" si="6"/>
        <v>13477.14883</v>
      </c>
      <c r="X109" s="69"/>
      <c r="Y109" s="69"/>
      <c r="Z109" s="69"/>
    </row>
    <row r="110" ht="15.75" customHeight="1">
      <c r="A110" s="44">
        <v>46216.0</v>
      </c>
      <c r="B110" s="49" t="s">
        <v>32</v>
      </c>
      <c r="C110" s="46" t="s">
        <v>142</v>
      </c>
      <c r="D110" s="46" t="s">
        <v>40</v>
      </c>
      <c r="E110" s="46" t="s">
        <v>142</v>
      </c>
      <c r="F110" s="46" t="s">
        <v>40</v>
      </c>
      <c r="G110" s="46" t="s">
        <v>143</v>
      </c>
      <c r="H110" s="45" t="s">
        <v>76</v>
      </c>
      <c r="I110" s="31">
        <f t="shared" si="1"/>
        <v>32</v>
      </c>
      <c r="J110" s="52">
        <v>70.33</v>
      </c>
      <c r="K110" s="34">
        <f t="shared" si="2"/>
        <v>71.25488767</v>
      </c>
      <c r="L110" s="46">
        <v>12.0</v>
      </c>
      <c r="M110" s="46">
        <v>2500.0</v>
      </c>
      <c r="N110" s="46">
        <v>6300.0</v>
      </c>
      <c r="O110" s="46">
        <v>20.0</v>
      </c>
      <c r="P110" s="36">
        <v>29950.0</v>
      </c>
      <c r="Q110" s="38">
        <v>0.0</v>
      </c>
      <c r="R110" s="38">
        <v>0.0</v>
      </c>
      <c r="S110" s="38">
        <v>0.0</v>
      </c>
      <c r="T110" s="38">
        <f t="shared" si="3"/>
        <v>29950</v>
      </c>
      <c r="U110" s="39">
        <f t="shared" si="4"/>
        <v>46248</v>
      </c>
      <c r="V110" s="40">
        <f t="shared" si="5"/>
        <v>2106383.5</v>
      </c>
      <c r="W110" s="42">
        <f t="shared" si="6"/>
        <v>27700.38575</v>
      </c>
      <c r="X110" s="69"/>
      <c r="Y110" s="69"/>
      <c r="Z110" s="69"/>
    </row>
    <row r="111" ht="15.75" hidden="1" customHeight="1">
      <c r="A111" s="44">
        <v>46175.0</v>
      </c>
      <c r="B111" s="49" t="s">
        <v>32</v>
      </c>
      <c r="C111" s="46">
        <v>788.0</v>
      </c>
      <c r="D111" s="46" t="s">
        <v>40</v>
      </c>
      <c r="E111" s="46">
        <v>788.0</v>
      </c>
      <c r="F111" s="46" t="s">
        <v>40</v>
      </c>
      <c r="G111" s="46" t="s">
        <v>95</v>
      </c>
      <c r="H111" s="45" t="s">
        <v>35</v>
      </c>
      <c r="I111" s="31">
        <f t="shared" si="1"/>
        <v>73</v>
      </c>
      <c r="J111" s="52">
        <v>98.74</v>
      </c>
      <c r="K111" s="34">
        <f t="shared" si="2"/>
        <v>101.7022</v>
      </c>
      <c r="L111" s="46">
        <v>25.0</v>
      </c>
      <c r="M111" s="46">
        <v>2000.0</v>
      </c>
      <c r="N111" s="46">
        <v>6000.0</v>
      </c>
      <c r="O111" s="46">
        <v>2.0</v>
      </c>
      <c r="P111" s="36">
        <v>4856.0</v>
      </c>
      <c r="Q111" s="38">
        <v>0.0</v>
      </c>
      <c r="R111" s="38">
        <v>0.0</v>
      </c>
      <c r="S111" s="38">
        <v>0.0</v>
      </c>
      <c r="T111" s="38">
        <f t="shared" si="3"/>
        <v>4856</v>
      </c>
      <c r="U111" s="39">
        <f t="shared" si="4"/>
        <v>46248</v>
      </c>
      <c r="V111" s="40">
        <f t="shared" si="5"/>
        <v>479481.44</v>
      </c>
      <c r="W111" s="42">
        <f t="shared" si="6"/>
        <v>14384.4432</v>
      </c>
      <c r="X111" s="69"/>
      <c r="Y111" s="69"/>
      <c r="Z111" s="69"/>
    </row>
    <row r="112" ht="15.75" customHeight="1">
      <c r="A112" s="44">
        <v>46105.0</v>
      </c>
      <c r="B112" s="49" t="s">
        <v>32</v>
      </c>
      <c r="C112" s="51" t="s">
        <v>75</v>
      </c>
      <c r="D112" s="51" t="s">
        <v>40</v>
      </c>
      <c r="E112" s="51" t="s">
        <v>75</v>
      </c>
      <c r="F112" s="51" t="s">
        <v>40</v>
      </c>
      <c r="G112" s="51" t="s">
        <v>13</v>
      </c>
      <c r="H112" s="49" t="s">
        <v>35</v>
      </c>
      <c r="I112" s="31">
        <f t="shared" si="1"/>
        <v>143</v>
      </c>
      <c r="J112" s="52">
        <v>96.3</v>
      </c>
      <c r="K112" s="34">
        <f t="shared" si="2"/>
        <v>101.959274</v>
      </c>
      <c r="L112" s="51">
        <v>15.0</v>
      </c>
      <c r="M112" s="51">
        <v>2500.0</v>
      </c>
      <c r="N112" s="51">
        <v>6000.0</v>
      </c>
      <c r="O112" s="51">
        <v>1.0</v>
      </c>
      <c r="P112" s="57">
        <v>1910.0</v>
      </c>
      <c r="Q112" s="38">
        <v>0.0</v>
      </c>
      <c r="R112" s="38">
        <v>0.0</v>
      </c>
      <c r="S112" s="38">
        <v>0.0</v>
      </c>
      <c r="T112" s="38">
        <f t="shared" si="3"/>
        <v>1910</v>
      </c>
      <c r="U112" s="39">
        <f t="shared" si="4"/>
        <v>46248</v>
      </c>
      <c r="V112" s="40">
        <f t="shared" si="5"/>
        <v>183933</v>
      </c>
      <c r="W112" s="42">
        <f t="shared" si="6"/>
        <v>10809.21329</v>
      </c>
      <c r="X112" s="69"/>
      <c r="Y112" s="69"/>
      <c r="Z112" s="69"/>
    </row>
    <row r="113" ht="15.75" hidden="1" customHeight="1">
      <c r="A113" s="44">
        <v>46179.0</v>
      </c>
      <c r="B113" s="49" t="s">
        <v>32</v>
      </c>
      <c r="C113" s="46" t="s">
        <v>75</v>
      </c>
      <c r="D113" s="46" t="s">
        <v>40</v>
      </c>
      <c r="E113" s="46" t="s">
        <v>75</v>
      </c>
      <c r="F113" s="46" t="s">
        <v>40</v>
      </c>
      <c r="G113" s="46" t="s">
        <v>129</v>
      </c>
      <c r="H113" s="45" t="s">
        <v>76</v>
      </c>
      <c r="I113" s="31">
        <f t="shared" si="1"/>
        <v>69</v>
      </c>
      <c r="J113" s="52">
        <v>71.1</v>
      </c>
      <c r="K113" s="34">
        <f t="shared" si="2"/>
        <v>73.11612329</v>
      </c>
      <c r="L113" s="46">
        <v>90.0</v>
      </c>
      <c r="M113" s="46">
        <v>2500.0</v>
      </c>
      <c r="N113" s="46">
        <v>6000.0</v>
      </c>
      <c r="O113" s="46">
        <v>1.0</v>
      </c>
      <c r="P113" s="36">
        <v>10650.0</v>
      </c>
      <c r="Q113" s="38">
        <v>0.0</v>
      </c>
      <c r="R113" s="38">
        <v>0.0</v>
      </c>
      <c r="S113" s="38">
        <v>0.0</v>
      </c>
      <c r="T113" s="38">
        <f t="shared" si="3"/>
        <v>10650</v>
      </c>
      <c r="U113" s="39">
        <f t="shared" si="4"/>
        <v>46248</v>
      </c>
      <c r="V113" s="40">
        <f t="shared" si="5"/>
        <v>757215</v>
      </c>
      <c r="W113" s="42">
        <f t="shared" si="6"/>
        <v>21471.71301</v>
      </c>
      <c r="X113" s="69"/>
      <c r="Y113" s="69"/>
      <c r="Z113" s="69"/>
    </row>
    <row r="114" ht="15.75" hidden="1" customHeight="1">
      <c r="A114" s="44">
        <v>46179.0</v>
      </c>
      <c r="B114" s="49" t="s">
        <v>32</v>
      </c>
      <c r="C114" s="46" t="s">
        <v>75</v>
      </c>
      <c r="D114" s="46" t="s">
        <v>40</v>
      </c>
      <c r="E114" s="46" t="s">
        <v>75</v>
      </c>
      <c r="F114" s="46" t="s">
        <v>40</v>
      </c>
      <c r="G114" s="46" t="s">
        <v>129</v>
      </c>
      <c r="H114" s="45" t="s">
        <v>76</v>
      </c>
      <c r="I114" s="31">
        <f t="shared" si="1"/>
        <v>69</v>
      </c>
      <c r="J114" s="52">
        <v>64.3</v>
      </c>
      <c r="K114" s="34">
        <f t="shared" si="2"/>
        <v>66.12330137</v>
      </c>
      <c r="L114" s="46">
        <v>20.0</v>
      </c>
      <c r="M114" s="46">
        <v>2100.0</v>
      </c>
      <c r="N114" s="46">
        <v>10600.0</v>
      </c>
      <c r="O114" s="46">
        <v>1.0</v>
      </c>
      <c r="P114" s="36">
        <v>3640.0</v>
      </c>
      <c r="Q114" s="38">
        <v>0.0</v>
      </c>
      <c r="R114" s="38">
        <v>0.0</v>
      </c>
      <c r="S114" s="38">
        <v>0.0</v>
      </c>
      <c r="T114" s="38">
        <f t="shared" si="3"/>
        <v>3640</v>
      </c>
      <c r="U114" s="39">
        <f t="shared" si="4"/>
        <v>46248</v>
      </c>
      <c r="V114" s="40">
        <f t="shared" si="5"/>
        <v>234052</v>
      </c>
      <c r="W114" s="42">
        <f t="shared" si="6"/>
        <v>6636.816986</v>
      </c>
      <c r="X114" s="69"/>
      <c r="Y114" s="69"/>
      <c r="Z114" s="69"/>
    </row>
    <row r="115" ht="15.75" hidden="1" customHeight="1">
      <c r="A115" s="44">
        <v>46188.0</v>
      </c>
      <c r="B115" s="49" t="s">
        <v>32</v>
      </c>
      <c r="C115" s="51" t="s">
        <v>142</v>
      </c>
      <c r="D115" s="51" t="s">
        <v>148</v>
      </c>
      <c r="E115" s="51" t="s">
        <v>142</v>
      </c>
      <c r="F115" s="51" t="s">
        <v>40</v>
      </c>
      <c r="G115" s="51" t="s">
        <v>46</v>
      </c>
      <c r="H115" s="45" t="s">
        <v>76</v>
      </c>
      <c r="I115" s="31">
        <f t="shared" si="1"/>
        <v>60</v>
      </c>
      <c r="J115" s="52">
        <v>69.15</v>
      </c>
      <c r="K115" s="34">
        <f t="shared" si="2"/>
        <v>70.85506849</v>
      </c>
      <c r="L115" s="51">
        <v>12.0</v>
      </c>
      <c r="M115" s="51">
        <v>2500.0</v>
      </c>
      <c r="N115" s="51">
        <v>6000.0</v>
      </c>
      <c r="O115" s="51">
        <v>8.0</v>
      </c>
      <c r="P115" s="53">
        <v>11520.0</v>
      </c>
      <c r="Q115" s="38">
        <v>0.0</v>
      </c>
      <c r="R115" s="38">
        <v>0.0</v>
      </c>
      <c r="S115" s="38">
        <v>0.0</v>
      </c>
      <c r="T115" s="38">
        <f t="shared" si="3"/>
        <v>11520</v>
      </c>
      <c r="U115" s="39">
        <f t="shared" si="4"/>
        <v>46248</v>
      </c>
      <c r="V115" s="40">
        <f t="shared" si="5"/>
        <v>796608</v>
      </c>
      <c r="W115" s="42">
        <f t="shared" si="6"/>
        <v>19642.38904</v>
      </c>
      <c r="X115" s="69"/>
      <c r="Y115" s="69"/>
      <c r="Z115" s="69"/>
    </row>
    <row r="116" ht="15.75" customHeight="1">
      <c r="A116" s="44">
        <v>46189.0</v>
      </c>
      <c r="B116" s="49" t="s">
        <v>32</v>
      </c>
      <c r="C116" s="46" t="s">
        <v>75</v>
      </c>
      <c r="D116" s="46" t="s">
        <v>55</v>
      </c>
      <c r="E116" s="46" t="s">
        <v>75</v>
      </c>
      <c r="F116" s="46" t="s">
        <v>49</v>
      </c>
      <c r="G116" s="46" t="s">
        <v>85</v>
      </c>
      <c r="H116" s="45" t="s">
        <v>35</v>
      </c>
      <c r="I116" s="31">
        <f t="shared" si="1"/>
        <v>59</v>
      </c>
      <c r="J116" s="52">
        <v>123.0</v>
      </c>
      <c r="K116" s="34">
        <f t="shared" si="2"/>
        <v>125.9823288</v>
      </c>
      <c r="L116" s="46">
        <v>60.0</v>
      </c>
      <c r="M116" s="46">
        <v>2000.0</v>
      </c>
      <c r="N116" s="46">
        <v>4100.0</v>
      </c>
      <c r="O116" s="46">
        <v>2.0</v>
      </c>
      <c r="P116" s="36">
        <v>7946.0</v>
      </c>
      <c r="Q116" s="38">
        <v>0.0</v>
      </c>
      <c r="R116" s="38">
        <v>0.0</v>
      </c>
      <c r="S116" s="38">
        <v>0.0</v>
      </c>
      <c r="T116" s="38">
        <f t="shared" si="3"/>
        <v>7946</v>
      </c>
      <c r="U116" s="39">
        <f t="shared" si="4"/>
        <v>46248</v>
      </c>
      <c r="V116" s="40">
        <f t="shared" si="5"/>
        <v>977358</v>
      </c>
      <c r="W116" s="42">
        <f t="shared" si="6"/>
        <v>23697.58438</v>
      </c>
      <c r="X116" s="69"/>
      <c r="Y116" s="69"/>
      <c r="Z116" s="69"/>
    </row>
    <row r="117" ht="15.75" customHeight="1">
      <c r="A117" s="44">
        <v>46189.0</v>
      </c>
      <c r="B117" s="49" t="s">
        <v>32</v>
      </c>
      <c r="C117" s="46">
        <v>788.0</v>
      </c>
      <c r="D117" s="46" t="s">
        <v>55</v>
      </c>
      <c r="E117" s="46">
        <v>788.0</v>
      </c>
      <c r="F117" s="46" t="s">
        <v>49</v>
      </c>
      <c r="G117" s="46" t="s">
        <v>140</v>
      </c>
      <c r="H117" s="45" t="s">
        <v>35</v>
      </c>
      <c r="I117" s="31">
        <f t="shared" si="1"/>
        <v>59</v>
      </c>
      <c r="J117" s="52">
        <v>105.0</v>
      </c>
      <c r="K117" s="34">
        <f t="shared" si="2"/>
        <v>107.5458904</v>
      </c>
      <c r="L117" s="46">
        <v>12.0</v>
      </c>
      <c r="M117" s="46">
        <v>2500.0</v>
      </c>
      <c r="N117" s="46">
        <v>12000.0</v>
      </c>
      <c r="O117" s="46">
        <v>2.0</v>
      </c>
      <c r="P117" s="36">
        <v>5947.0</v>
      </c>
      <c r="Q117" s="38">
        <v>0.0</v>
      </c>
      <c r="R117" s="38">
        <v>0.0</v>
      </c>
      <c r="S117" s="38">
        <v>0.0</v>
      </c>
      <c r="T117" s="38">
        <f t="shared" si="3"/>
        <v>5947</v>
      </c>
      <c r="U117" s="39">
        <f t="shared" si="4"/>
        <v>46248</v>
      </c>
      <c r="V117" s="40">
        <f t="shared" si="5"/>
        <v>624435</v>
      </c>
      <c r="W117" s="42">
        <f t="shared" si="6"/>
        <v>15140.41027</v>
      </c>
      <c r="X117" s="69"/>
      <c r="Y117" s="69"/>
      <c r="Z117" s="69"/>
    </row>
    <row r="118" ht="15.75" hidden="1" customHeight="1">
      <c r="A118" s="44">
        <v>46193.0</v>
      </c>
      <c r="B118" s="49" t="s">
        <v>32</v>
      </c>
      <c r="C118" s="51">
        <v>788.0</v>
      </c>
      <c r="D118" s="51" t="s">
        <v>149</v>
      </c>
      <c r="E118" s="51">
        <v>788.0</v>
      </c>
      <c r="F118" s="51" t="s">
        <v>40</v>
      </c>
      <c r="G118" s="51" t="s">
        <v>46</v>
      </c>
      <c r="H118" s="45" t="s">
        <v>35</v>
      </c>
      <c r="I118" s="31">
        <f t="shared" si="1"/>
        <v>55</v>
      </c>
      <c r="J118" s="52">
        <v>69.8</v>
      </c>
      <c r="K118" s="34">
        <f t="shared" si="2"/>
        <v>71.37767123</v>
      </c>
      <c r="L118" s="51">
        <v>36.0</v>
      </c>
      <c r="M118" s="51">
        <v>2500.0</v>
      </c>
      <c r="N118" s="51">
        <v>6000.0</v>
      </c>
      <c r="O118" s="51">
        <v>2.0</v>
      </c>
      <c r="P118" s="57">
        <v>8700.0</v>
      </c>
      <c r="Q118" s="38">
        <v>0.0</v>
      </c>
      <c r="R118" s="38">
        <v>0.0</v>
      </c>
      <c r="S118" s="38">
        <v>0.0</v>
      </c>
      <c r="T118" s="38">
        <f t="shared" si="3"/>
        <v>8700</v>
      </c>
      <c r="U118" s="39">
        <f t="shared" si="4"/>
        <v>46248</v>
      </c>
      <c r="V118" s="40">
        <f t="shared" si="5"/>
        <v>607260</v>
      </c>
      <c r="W118" s="42">
        <f t="shared" si="6"/>
        <v>13725.73973</v>
      </c>
      <c r="X118" s="69"/>
      <c r="Y118" s="69"/>
      <c r="Z118" s="69"/>
    </row>
    <row r="119" ht="15.75" hidden="1" customHeight="1">
      <c r="A119" s="44">
        <v>46239.0</v>
      </c>
      <c r="B119" s="49" t="s">
        <v>32</v>
      </c>
      <c r="C119" s="51">
        <v>788.0</v>
      </c>
      <c r="D119" s="51" t="s">
        <v>150</v>
      </c>
      <c r="E119" s="51">
        <v>788.0</v>
      </c>
      <c r="F119" s="51" t="s">
        <v>144</v>
      </c>
      <c r="G119" s="51" t="s">
        <v>46</v>
      </c>
      <c r="H119" s="45" t="s">
        <v>35</v>
      </c>
      <c r="I119" s="31">
        <f t="shared" si="1"/>
        <v>9</v>
      </c>
      <c r="J119" s="52">
        <v>69.9</v>
      </c>
      <c r="K119" s="34">
        <f t="shared" si="2"/>
        <v>70.15853425</v>
      </c>
      <c r="L119" s="51">
        <v>25.0</v>
      </c>
      <c r="M119" s="51">
        <v>2500.0</v>
      </c>
      <c r="N119" s="51">
        <v>12000.0</v>
      </c>
      <c r="O119" s="51">
        <v>3.0</v>
      </c>
      <c r="P119" s="53">
        <v>18180.0</v>
      </c>
      <c r="Q119" s="38">
        <v>0.0</v>
      </c>
      <c r="R119" s="38">
        <v>0.0</v>
      </c>
      <c r="S119" s="38">
        <v>0.0</v>
      </c>
      <c r="T119" s="38">
        <f t="shared" si="3"/>
        <v>18180</v>
      </c>
      <c r="U119" s="39">
        <f t="shared" si="4"/>
        <v>46248</v>
      </c>
      <c r="V119" s="40">
        <f t="shared" si="5"/>
        <v>1270782</v>
      </c>
      <c r="W119" s="42">
        <f t="shared" si="6"/>
        <v>4700.152603</v>
      </c>
      <c r="X119" s="69"/>
      <c r="Y119" s="69"/>
      <c r="Z119" s="69"/>
    </row>
    <row r="120" ht="15.75" hidden="1" customHeight="1">
      <c r="A120" s="44">
        <v>46186.0</v>
      </c>
      <c r="B120" s="49" t="s">
        <v>32</v>
      </c>
      <c r="C120" s="51">
        <v>788.0</v>
      </c>
      <c r="D120" s="51" t="s">
        <v>145</v>
      </c>
      <c r="E120" s="51">
        <v>788.0</v>
      </c>
      <c r="F120" s="51" t="s">
        <v>60</v>
      </c>
      <c r="G120" s="51" t="s">
        <v>72</v>
      </c>
      <c r="H120" s="45" t="s">
        <v>35</v>
      </c>
      <c r="I120" s="31">
        <f t="shared" si="1"/>
        <v>62</v>
      </c>
      <c r="J120" s="52">
        <v>58.25</v>
      </c>
      <c r="K120" s="34">
        <f t="shared" si="2"/>
        <v>59.73417808</v>
      </c>
      <c r="L120" s="51">
        <v>5.0</v>
      </c>
      <c r="M120" s="51">
        <v>1250.0</v>
      </c>
      <c r="N120" s="51" t="s">
        <v>89</v>
      </c>
      <c r="O120" s="51">
        <v>0.0</v>
      </c>
      <c r="P120" s="53">
        <v>2390.0</v>
      </c>
      <c r="Q120" s="38">
        <v>0.0</v>
      </c>
      <c r="R120" s="38">
        <v>0.0</v>
      </c>
      <c r="S120" s="38">
        <v>0.0</v>
      </c>
      <c r="T120" s="38">
        <f t="shared" si="3"/>
        <v>2390</v>
      </c>
      <c r="U120" s="39">
        <f t="shared" si="4"/>
        <v>46248</v>
      </c>
      <c r="V120" s="40">
        <f t="shared" si="5"/>
        <v>139217.5</v>
      </c>
      <c r="W120" s="42">
        <f t="shared" si="6"/>
        <v>3547.185616</v>
      </c>
      <c r="X120" s="69"/>
      <c r="Y120" s="69"/>
      <c r="Z120" s="69"/>
    </row>
    <row r="121" ht="15.75" hidden="1" customHeight="1">
      <c r="A121" s="44">
        <v>46192.0</v>
      </c>
      <c r="B121" s="49" t="s">
        <v>32</v>
      </c>
      <c r="C121" s="46" t="s">
        <v>75</v>
      </c>
      <c r="D121" s="46" t="s">
        <v>40</v>
      </c>
      <c r="E121" s="46" t="s">
        <v>75</v>
      </c>
      <c r="F121" s="46" t="s">
        <v>40</v>
      </c>
      <c r="G121" s="46" t="s">
        <v>130</v>
      </c>
      <c r="H121" s="45" t="s">
        <v>76</v>
      </c>
      <c r="I121" s="31">
        <f t="shared" si="1"/>
        <v>56</v>
      </c>
      <c r="J121" s="52">
        <v>99.5</v>
      </c>
      <c r="K121" s="34">
        <f t="shared" si="2"/>
        <v>101.789863</v>
      </c>
      <c r="L121" s="46">
        <v>10.0</v>
      </c>
      <c r="M121" s="46">
        <v>2000.0</v>
      </c>
      <c r="N121" s="46">
        <v>6000.0</v>
      </c>
      <c r="O121" s="46">
        <v>5.0</v>
      </c>
      <c r="P121" s="36">
        <v>4950.0</v>
      </c>
      <c r="Q121" s="38">
        <v>0.0</v>
      </c>
      <c r="R121" s="38">
        <v>0.0</v>
      </c>
      <c r="S121" s="38">
        <v>0.0</v>
      </c>
      <c r="T121" s="38">
        <f t="shared" si="3"/>
        <v>4950</v>
      </c>
      <c r="U121" s="39">
        <f t="shared" si="4"/>
        <v>46248</v>
      </c>
      <c r="V121" s="40">
        <f t="shared" si="5"/>
        <v>492525</v>
      </c>
      <c r="W121" s="42">
        <f t="shared" si="6"/>
        <v>11334.82192</v>
      </c>
      <c r="X121" s="69"/>
      <c r="Y121" s="69"/>
      <c r="Z121" s="69"/>
    </row>
    <row r="122" ht="15.75" customHeight="1">
      <c r="A122" s="44">
        <v>46192.0</v>
      </c>
      <c r="B122" s="49" t="s">
        <v>32</v>
      </c>
      <c r="C122" s="51" t="s">
        <v>99</v>
      </c>
      <c r="D122" s="51" t="s">
        <v>40</v>
      </c>
      <c r="E122" s="51" t="s">
        <v>99</v>
      </c>
      <c r="F122" s="51" t="s">
        <v>40</v>
      </c>
      <c r="G122" s="51" t="s">
        <v>13</v>
      </c>
      <c r="H122" s="45" t="s">
        <v>35</v>
      </c>
      <c r="I122" s="31">
        <f t="shared" si="1"/>
        <v>56</v>
      </c>
      <c r="J122" s="52">
        <v>96.8</v>
      </c>
      <c r="K122" s="34">
        <f t="shared" si="2"/>
        <v>99.02772603</v>
      </c>
      <c r="L122" s="51">
        <v>25.0</v>
      </c>
      <c r="M122" s="51">
        <v>2500.0</v>
      </c>
      <c r="N122" s="51">
        <v>6000.0</v>
      </c>
      <c r="O122" s="51">
        <v>3.0</v>
      </c>
      <c r="P122" s="57">
        <v>9210.0</v>
      </c>
      <c r="Q122" s="38">
        <v>0.0</v>
      </c>
      <c r="R122" s="38">
        <v>0.0</v>
      </c>
      <c r="S122" s="38">
        <v>0.0</v>
      </c>
      <c r="T122" s="38">
        <f t="shared" si="3"/>
        <v>9210</v>
      </c>
      <c r="U122" s="39">
        <f t="shared" si="4"/>
        <v>46248</v>
      </c>
      <c r="V122" s="40">
        <f t="shared" si="5"/>
        <v>891528</v>
      </c>
      <c r="W122" s="42">
        <f t="shared" si="6"/>
        <v>20517.35671</v>
      </c>
      <c r="X122" s="69"/>
      <c r="Y122" s="69"/>
      <c r="Z122" s="69"/>
    </row>
    <row r="123" ht="15.75" hidden="1" customHeight="1">
      <c r="A123" s="44">
        <v>46192.0</v>
      </c>
      <c r="B123" s="49" t="s">
        <v>32</v>
      </c>
      <c r="C123" s="46" t="s">
        <v>75</v>
      </c>
      <c r="D123" s="46" t="s">
        <v>40</v>
      </c>
      <c r="E123" s="46" t="s">
        <v>75</v>
      </c>
      <c r="F123" s="46" t="s">
        <v>40</v>
      </c>
      <c r="G123" s="46" t="s">
        <v>130</v>
      </c>
      <c r="H123" s="45" t="s">
        <v>76</v>
      </c>
      <c r="I123" s="31">
        <f t="shared" si="1"/>
        <v>56</v>
      </c>
      <c r="J123" s="52">
        <v>99.5</v>
      </c>
      <c r="K123" s="34">
        <f t="shared" si="2"/>
        <v>101.789863</v>
      </c>
      <c r="L123" s="46">
        <v>8.0</v>
      </c>
      <c r="M123" s="46">
        <v>2000.0</v>
      </c>
      <c r="N123" s="46">
        <v>6000.0</v>
      </c>
      <c r="O123" s="46">
        <v>6.0</v>
      </c>
      <c r="P123" s="36">
        <v>4740.0</v>
      </c>
      <c r="Q123" s="38">
        <v>0.0</v>
      </c>
      <c r="R123" s="38">
        <v>0.0</v>
      </c>
      <c r="S123" s="38">
        <v>0.0</v>
      </c>
      <c r="T123" s="38">
        <f t="shared" si="3"/>
        <v>4740</v>
      </c>
      <c r="U123" s="39">
        <f t="shared" si="4"/>
        <v>46248</v>
      </c>
      <c r="V123" s="40">
        <f t="shared" si="5"/>
        <v>471630</v>
      </c>
      <c r="W123" s="42">
        <f t="shared" si="6"/>
        <v>10853.95068</v>
      </c>
      <c r="X123" s="69"/>
      <c r="Y123" s="69"/>
      <c r="Z123" s="69"/>
    </row>
    <row r="124" ht="15.75" hidden="1" customHeight="1">
      <c r="A124" s="44">
        <v>46200.0</v>
      </c>
      <c r="B124" s="49" t="s">
        <v>32</v>
      </c>
      <c r="C124" s="46">
        <v>788.0</v>
      </c>
      <c r="D124" s="46" t="s">
        <v>122</v>
      </c>
      <c r="E124" s="46">
        <v>788.0</v>
      </c>
      <c r="F124" s="46" t="s">
        <v>40</v>
      </c>
      <c r="G124" s="46" t="s">
        <v>46</v>
      </c>
      <c r="H124" s="45" t="s">
        <v>35</v>
      </c>
      <c r="I124" s="31">
        <f t="shared" si="1"/>
        <v>48</v>
      </c>
      <c r="J124" s="52">
        <v>73.25</v>
      </c>
      <c r="K124" s="34">
        <f t="shared" si="2"/>
        <v>74.69493151</v>
      </c>
      <c r="L124" s="46">
        <v>70.0</v>
      </c>
      <c r="M124" s="46">
        <v>2500.0</v>
      </c>
      <c r="N124" s="46">
        <v>3000.0</v>
      </c>
      <c r="O124" s="46">
        <v>2.0</v>
      </c>
      <c r="P124" s="36">
        <v>8400.0</v>
      </c>
      <c r="Q124" s="38">
        <v>0.0</v>
      </c>
      <c r="R124" s="38">
        <v>0.0</v>
      </c>
      <c r="S124" s="38">
        <v>0.0</v>
      </c>
      <c r="T124" s="38">
        <f t="shared" si="3"/>
        <v>8400</v>
      </c>
      <c r="U124" s="39">
        <f t="shared" si="4"/>
        <v>46248</v>
      </c>
      <c r="V124" s="40">
        <f t="shared" si="5"/>
        <v>615300</v>
      </c>
      <c r="W124" s="42">
        <f t="shared" si="6"/>
        <v>12137.42466</v>
      </c>
      <c r="X124" s="69"/>
      <c r="Y124" s="69"/>
      <c r="Z124" s="69"/>
    </row>
    <row r="125" ht="15.75" hidden="1" customHeight="1">
      <c r="A125" s="44">
        <v>46200.0</v>
      </c>
      <c r="B125" s="49" t="s">
        <v>32</v>
      </c>
      <c r="C125" s="46">
        <v>788.0</v>
      </c>
      <c r="D125" s="46" t="s">
        <v>122</v>
      </c>
      <c r="E125" s="46">
        <v>788.0</v>
      </c>
      <c r="F125" s="46" t="s">
        <v>40</v>
      </c>
      <c r="G125" s="46" t="s">
        <v>46</v>
      </c>
      <c r="H125" s="45" t="s">
        <v>35</v>
      </c>
      <c r="I125" s="31">
        <f t="shared" si="1"/>
        <v>48</v>
      </c>
      <c r="J125" s="52">
        <v>72.25</v>
      </c>
      <c r="K125" s="34">
        <f t="shared" si="2"/>
        <v>73.67520548</v>
      </c>
      <c r="L125" s="46">
        <v>80.0</v>
      </c>
      <c r="M125" s="46">
        <v>2500.0</v>
      </c>
      <c r="N125" s="46">
        <v>3000.0</v>
      </c>
      <c r="O125" s="46">
        <v>1.0</v>
      </c>
      <c r="P125" s="36">
        <v>4900.0</v>
      </c>
      <c r="Q125" s="38">
        <v>0.0</v>
      </c>
      <c r="R125" s="38">
        <v>0.0</v>
      </c>
      <c r="S125" s="38">
        <v>0.0</v>
      </c>
      <c r="T125" s="38">
        <f t="shared" si="3"/>
        <v>4900</v>
      </c>
      <c r="U125" s="39">
        <f t="shared" si="4"/>
        <v>46248</v>
      </c>
      <c r="V125" s="40">
        <f t="shared" si="5"/>
        <v>354025</v>
      </c>
      <c r="W125" s="42">
        <f t="shared" si="6"/>
        <v>6983.506849</v>
      </c>
      <c r="X125" s="69"/>
      <c r="Y125" s="69"/>
      <c r="Z125" s="69"/>
    </row>
    <row r="126" ht="15.75" hidden="1" customHeight="1">
      <c r="A126" s="44">
        <v>46178.0</v>
      </c>
      <c r="B126" s="49" t="s">
        <v>32</v>
      </c>
      <c r="C126" s="46">
        <v>788.0</v>
      </c>
      <c r="D126" s="46" t="s">
        <v>151</v>
      </c>
      <c r="E126" s="46">
        <v>788.0</v>
      </c>
      <c r="F126" s="46" t="s">
        <v>45</v>
      </c>
      <c r="G126" s="46" t="s">
        <v>46</v>
      </c>
      <c r="H126" s="45" t="s">
        <v>35</v>
      </c>
      <c r="I126" s="31">
        <f t="shared" si="1"/>
        <v>70</v>
      </c>
      <c r="J126" s="52">
        <v>71.35</v>
      </c>
      <c r="K126" s="34">
        <f t="shared" si="2"/>
        <v>73.40253425</v>
      </c>
      <c r="L126" s="46">
        <v>22.0</v>
      </c>
      <c r="M126" s="46">
        <v>2500.0</v>
      </c>
      <c r="N126" s="46">
        <v>6000.0</v>
      </c>
      <c r="O126" s="46">
        <v>1.0</v>
      </c>
      <c r="P126" s="36">
        <v>2625.0</v>
      </c>
      <c r="Q126" s="38">
        <v>0.0</v>
      </c>
      <c r="R126" s="38">
        <v>0.0</v>
      </c>
      <c r="S126" s="38">
        <v>0.0</v>
      </c>
      <c r="T126" s="38">
        <f t="shared" si="3"/>
        <v>2625</v>
      </c>
      <c r="U126" s="39">
        <f t="shared" si="4"/>
        <v>46248</v>
      </c>
      <c r="V126" s="40">
        <f t="shared" si="5"/>
        <v>187293.75</v>
      </c>
      <c r="W126" s="42">
        <f t="shared" si="6"/>
        <v>5387.902397</v>
      </c>
      <c r="X126" s="69"/>
      <c r="Y126" s="69"/>
      <c r="Z126" s="69"/>
    </row>
    <row r="127" ht="15.75" customHeight="1">
      <c r="A127" s="44">
        <v>46216.0</v>
      </c>
      <c r="B127" s="49" t="s">
        <v>32</v>
      </c>
      <c r="C127" s="51" t="s">
        <v>142</v>
      </c>
      <c r="D127" s="51" t="s">
        <v>40</v>
      </c>
      <c r="E127" s="51" t="s">
        <v>142</v>
      </c>
      <c r="F127" s="51" t="s">
        <v>123</v>
      </c>
      <c r="G127" s="51" t="s">
        <v>137</v>
      </c>
      <c r="H127" s="49" t="s">
        <v>35</v>
      </c>
      <c r="I127" s="31">
        <f t="shared" si="1"/>
        <v>32</v>
      </c>
      <c r="J127" s="52">
        <v>60.8</v>
      </c>
      <c r="K127" s="34">
        <f t="shared" si="2"/>
        <v>61.59956164</v>
      </c>
      <c r="L127" s="51">
        <v>12.0</v>
      </c>
      <c r="M127" s="51">
        <v>2500.0</v>
      </c>
      <c r="N127" s="51">
        <v>12000.0</v>
      </c>
      <c r="O127" s="51">
        <v>10.0</v>
      </c>
      <c r="P127" s="53">
        <v>29156.0</v>
      </c>
      <c r="Q127" s="38">
        <v>0.0</v>
      </c>
      <c r="R127" s="38">
        <v>0.0</v>
      </c>
      <c r="S127" s="38">
        <v>0.0</v>
      </c>
      <c r="T127" s="38">
        <f t="shared" si="3"/>
        <v>29156</v>
      </c>
      <c r="U127" s="39">
        <f t="shared" si="4"/>
        <v>46248</v>
      </c>
      <c r="V127" s="40">
        <f t="shared" si="5"/>
        <v>1772684.8</v>
      </c>
      <c r="W127" s="42">
        <f t="shared" si="6"/>
        <v>23312.01929</v>
      </c>
      <c r="X127" s="69"/>
      <c r="Y127" s="69"/>
      <c r="Z127" s="69"/>
    </row>
    <row r="128" ht="15.75" hidden="1" customHeight="1">
      <c r="A128" s="44">
        <v>46178.0</v>
      </c>
      <c r="B128" s="49" t="s">
        <v>32</v>
      </c>
      <c r="C128" s="46">
        <v>788.0</v>
      </c>
      <c r="D128" s="46" t="s">
        <v>151</v>
      </c>
      <c r="E128" s="46">
        <v>788.0</v>
      </c>
      <c r="F128" s="46" t="s">
        <v>45</v>
      </c>
      <c r="G128" s="46" t="s">
        <v>46</v>
      </c>
      <c r="H128" s="45" t="s">
        <v>35</v>
      </c>
      <c r="I128" s="31">
        <f t="shared" si="1"/>
        <v>70</v>
      </c>
      <c r="J128" s="52">
        <v>72.35</v>
      </c>
      <c r="K128" s="34">
        <f t="shared" si="2"/>
        <v>74.43130137</v>
      </c>
      <c r="L128" s="46">
        <v>10.0</v>
      </c>
      <c r="M128" s="46">
        <v>2500.0</v>
      </c>
      <c r="N128" s="46">
        <v>12000.0</v>
      </c>
      <c r="O128" s="46">
        <v>1.0</v>
      </c>
      <c r="P128" s="36">
        <v>2490.0</v>
      </c>
      <c r="Q128" s="38">
        <v>0.0</v>
      </c>
      <c r="R128" s="38">
        <v>0.0</v>
      </c>
      <c r="S128" s="38">
        <v>0.0</v>
      </c>
      <c r="T128" s="38">
        <f t="shared" si="3"/>
        <v>2490</v>
      </c>
      <c r="U128" s="39">
        <f t="shared" si="4"/>
        <v>46248</v>
      </c>
      <c r="V128" s="40">
        <f t="shared" si="5"/>
        <v>180151.5</v>
      </c>
      <c r="W128" s="42">
        <f t="shared" si="6"/>
        <v>5182.440411</v>
      </c>
      <c r="X128" s="69"/>
      <c r="Y128" s="69"/>
      <c r="Z128" s="69"/>
    </row>
    <row r="129" ht="15.75" hidden="1" customHeight="1">
      <c r="A129" s="44">
        <v>46200.0</v>
      </c>
      <c r="B129" s="49" t="s">
        <v>32</v>
      </c>
      <c r="C129" s="46">
        <v>788.0</v>
      </c>
      <c r="D129" s="46" t="s">
        <v>122</v>
      </c>
      <c r="E129" s="46">
        <v>788.0</v>
      </c>
      <c r="F129" s="46" t="s">
        <v>40</v>
      </c>
      <c r="G129" s="46" t="s">
        <v>46</v>
      </c>
      <c r="H129" s="45" t="s">
        <v>35</v>
      </c>
      <c r="I129" s="31">
        <f t="shared" si="1"/>
        <v>48</v>
      </c>
      <c r="J129" s="52">
        <v>72.25</v>
      </c>
      <c r="K129" s="34">
        <f t="shared" si="2"/>
        <v>73.67520548</v>
      </c>
      <c r="L129" s="46">
        <v>80.0</v>
      </c>
      <c r="M129" s="46">
        <v>2500.0</v>
      </c>
      <c r="N129" s="46">
        <v>3000.0</v>
      </c>
      <c r="O129" s="46">
        <v>1.0</v>
      </c>
      <c r="P129" s="36">
        <v>4900.0</v>
      </c>
      <c r="Q129" s="38">
        <v>0.0</v>
      </c>
      <c r="R129" s="38">
        <v>0.0</v>
      </c>
      <c r="S129" s="38">
        <v>0.0</v>
      </c>
      <c r="T129" s="38">
        <f t="shared" si="3"/>
        <v>4900</v>
      </c>
      <c r="U129" s="39">
        <f t="shared" si="4"/>
        <v>46248</v>
      </c>
      <c r="V129" s="40">
        <f t="shared" si="5"/>
        <v>354025</v>
      </c>
      <c r="W129" s="42">
        <f t="shared" si="6"/>
        <v>6983.506849</v>
      </c>
      <c r="X129" s="69"/>
      <c r="Y129" s="69"/>
      <c r="Z129" s="69"/>
    </row>
    <row r="130" ht="15.75" hidden="1" customHeight="1">
      <c r="A130" s="44">
        <v>46212.0</v>
      </c>
      <c r="B130" s="49" t="s">
        <v>32</v>
      </c>
      <c r="C130" s="46">
        <v>788.0</v>
      </c>
      <c r="D130" s="46" t="s">
        <v>93</v>
      </c>
      <c r="E130" s="46">
        <v>788.0</v>
      </c>
      <c r="F130" s="46" t="s">
        <v>152</v>
      </c>
      <c r="G130" s="46" t="s">
        <v>46</v>
      </c>
      <c r="H130" s="45" t="s">
        <v>35</v>
      </c>
      <c r="I130" s="31">
        <f t="shared" si="1"/>
        <v>36</v>
      </c>
      <c r="J130" s="52">
        <v>63.0</v>
      </c>
      <c r="K130" s="34">
        <f t="shared" si="2"/>
        <v>63.93205479</v>
      </c>
      <c r="L130" s="46">
        <v>20.0</v>
      </c>
      <c r="M130" s="46">
        <v>2500.0</v>
      </c>
      <c r="N130" s="46">
        <v>6000.0</v>
      </c>
      <c r="O130" s="46">
        <v>9.0</v>
      </c>
      <c r="P130" s="36">
        <v>21870.0</v>
      </c>
      <c r="Q130" s="38">
        <v>0.0</v>
      </c>
      <c r="R130" s="38">
        <v>0.0</v>
      </c>
      <c r="S130" s="38">
        <v>0.0</v>
      </c>
      <c r="T130" s="38">
        <f t="shared" si="3"/>
        <v>21870</v>
      </c>
      <c r="U130" s="39">
        <f t="shared" si="4"/>
        <v>46248</v>
      </c>
      <c r="V130" s="40">
        <f t="shared" si="5"/>
        <v>1377810</v>
      </c>
      <c r="W130" s="42">
        <f t="shared" si="6"/>
        <v>20384.03836</v>
      </c>
      <c r="X130" s="69"/>
      <c r="Y130" s="69"/>
      <c r="Z130" s="69"/>
    </row>
    <row r="131" ht="15.75" customHeight="1">
      <c r="A131" s="44">
        <v>46218.0</v>
      </c>
      <c r="B131" s="49" t="s">
        <v>32</v>
      </c>
      <c r="C131" s="51" t="s">
        <v>142</v>
      </c>
      <c r="D131" s="51" t="s">
        <v>40</v>
      </c>
      <c r="E131" s="51" t="s">
        <v>142</v>
      </c>
      <c r="F131" s="51" t="s">
        <v>123</v>
      </c>
      <c r="G131" s="51" t="s">
        <v>137</v>
      </c>
      <c r="H131" s="45" t="s">
        <v>35</v>
      </c>
      <c r="I131" s="31">
        <f t="shared" si="1"/>
        <v>30</v>
      </c>
      <c r="J131" s="52">
        <v>63.6</v>
      </c>
      <c r="K131" s="34">
        <f t="shared" si="2"/>
        <v>64.38410959</v>
      </c>
      <c r="L131" s="51">
        <v>15.0</v>
      </c>
      <c r="M131" s="51">
        <v>2500.0</v>
      </c>
      <c r="N131" s="51">
        <v>12000.0</v>
      </c>
      <c r="O131" s="51">
        <v>2.0</v>
      </c>
      <c r="P131" s="53">
        <v>7200.0</v>
      </c>
      <c r="Q131" s="38">
        <v>0.0</v>
      </c>
      <c r="R131" s="38">
        <v>0.0</v>
      </c>
      <c r="S131" s="38">
        <v>0.0</v>
      </c>
      <c r="T131" s="38">
        <f t="shared" si="3"/>
        <v>7200</v>
      </c>
      <c r="U131" s="39">
        <f t="shared" si="4"/>
        <v>46248</v>
      </c>
      <c r="V131" s="40">
        <f t="shared" si="5"/>
        <v>457920</v>
      </c>
      <c r="W131" s="42">
        <f t="shared" si="6"/>
        <v>5645.589041</v>
      </c>
      <c r="X131" s="69"/>
      <c r="Y131" s="69"/>
      <c r="Z131" s="69"/>
    </row>
    <row r="132" ht="15.75" customHeight="1">
      <c r="A132" s="44">
        <v>46218.0</v>
      </c>
      <c r="B132" s="49" t="s">
        <v>32</v>
      </c>
      <c r="C132" s="51">
        <v>788.0</v>
      </c>
      <c r="D132" s="51" t="s">
        <v>40</v>
      </c>
      <c r="E132" s="51">
        <v>788.0</v>
      </c>
      <c r="F132" s="51" t="s">
        <v>123</v>
      </c>
      <c r="G132" s="51" t="s">
        <v>137</v>
      </c>
      <c r="H132" s="45" t="s">
        <v>35</v>
      </c>
      <c r="I132" s="31">
        <f t="shared" si="1"/>
        <v>30</v>
      </c>
      <c r="J132" s="52">
        <v>71.0</v>
      </c>
      <c r="K132" s="34">
        <f t="shared" si="2"/>
        <v>71.87534247</v>
      </c>
      <c r="L132" s="51">
        <v>30.0</v>
      </c>
      <c r="M132" s="51">
        <v>2500.0</v>
      </c>
      <c r="N132" s="51">
        <v>6000.0</v>
      </c>
      <c r="O132" s="51">
        <v>1.0</v>
      </c>
      <c r="P132" s="53">
        <v>3385.0</v>
      </c>
      <c r="Q132" s="38">
        <v>0.0</v>
      </c>
      <c r="R132" s="38">
        <v>0.0</v>
      </c>
      <c r="S132" s="38">
        <v>0.0</v>
      </c>
      <c r="T132" s="38">
        <f t="shared" si="3"/>
        <v>3385</v>
      </c>
      <c r="U132" s="39">
        <f t="shared" si="4"/>
        <v>46248</v>
      </c>
      <c r="V132" s="40">
        <f t="shared" si="5"/>
        <v>240335</v>
      </c>
      <c r="W132" s="42">
        <f t="shared" si="6"/>
        <v>2963.034247</v>
      </c>
      <c r="X132" s="69"/>
      <c r="Y132" s="69"/>
      <c r="Z132" s="69"/>
    </row>
    <row r="133" ht="15.75" customHeight="1">
      <c r="A133" s="44">
        <v>46221.0</v>
      </c>
      <c r="B133" s="49" t="s">
        <v>32</v>
      </c>
      <c r="C133" s="51" t="s">
        <v>112</v>
      </c>
      <c r="D133" s="51" t="s">
        <v>153</v>
      </c>
      <c r="E133" s="51" t="s">
        <v>112</v>
      </c>
      <c r="F133" s="51" t="s">
        <v>40</v>
      </c>
      <c r="G133" s="51" t="s">
        <v>154</v>
      </c>
      <c r="H133" s="45" t="s">
        <v>35</v>
      </c>
      <c r="I133" s="31">
        <f t="shared" si="1"/>
        <v>27</v>
      </c>
      <c r="J133" s="52">
        <v>71.0</v>
      </c>
      <c r="K133" s="34">
        <f t="shared" si="2"/>
        <v>71.78780822</v>
      </c>
      <c r="L133" s="51">
        <v>65.0</v>
      </c>
      <c r="M133" s="51">
        <v>2500.0</v>
      </c>
      <c r="N133" s="51">
        <v>6650.0</v>
      </c>
      <c r="O133" s="51">
        <v>1.0</v>
      </c>
      <c r="P133" s="57">
        <v>8930.0</v>
      </c>
      <c r="Q133" s="38">
        <v>0.0</v>
      </c>
      <c r="R133" s="38">
        <v>0.0</v>
      </c>
      <c r="S133" s="38">
        <v>0.0</v>
      </c>
      <c r="T133" s="38">
        <f t="shared" si="3"/>
        <v>8930</v>
      </c>
      <c r="U133" s="39">
        <f t="shared" si="4"/>
        <v>46248</v>
      </c>
      <c r="V133" s="40">
        <f t="shared" si="5"/>
        <v>634030</v>
      </c>
      <c r="W133" s="42">
        <f t="shared" si="6"/>
        <v>7035.127397</v>
      </c>
      <c r="X133" s="69"/>
      <c r="Y133" s="69"/>
      <c r="Z133" s="69"/>
    </row>
    <row r="134" ht="15.75" hidden="1" customHeight="1">
      <c r="A134" s="44">
        <v>46223.0</v>
      </c>
      <c r="B134" s="49" t="s">
        <v>32</v>
      </c>
      <c r="C134" s="51">
        <v>788.0</v>
      </c>
      <c r="D134" s="51" t="s">
        <v>55</v>
      </c>
      <c r="E134" s="51">
        <v>788.0</v>
      </c>
      <c r="F134" s="51" t="s">
        <v>49</v>
      </c>
      <c r="G134" s="51" t="s">
        <v>46</v>
      </c>
      <c r="H134" s="45" t="s">
        <v>35</v>
      </c>
      <c r="I134" s="31">
        <f t="shared" si="1"/>
        <v>25</v>
      </c>
      <c r="J134" s="52">
        <v>70.1</v>
      </c>
      <c r="K134" s="34">
        <f t="shared" si="2"/>
        <v>70.82020548</v>
      </c>
      <c r="L134" s="51">
        <v>16.0</v>
      </c>
      <c r="M134" s="51">
        <v>2500.0</v>
      </c>
      <c r="N134" s="51">
        <v>12000.0</v>
      </c>
      <c r="O134" s="51">
        <v>2.5</v>
      </c>
      <c r="P134" s="53">
        <v>9791.0</v>
      </c>
      <c r="Q134" s="38">
        <v>0.0</v>
      </c>
      <c r="R134" s="38">
        <v>0.0</v>
      </c>
      <c r="S134" s="38">
        <v>0.0</v>
      </c>
      <c r="T134" s="38">
        <f t="shared" si="3"/>
        <v>9791</v>
      </c>
      <c r="U134" s="39">
        <f t="shared" si="4"/>
        <v>46248</v>
      </c>
      <c r="V134" s="40">
        <f t="shared" si="5"/>
        <v>686349.1</v>
      </c>
      <c r="W134" s="42">
        <f t="shared" si="6"/>
        <v>7051.531849</v>
      </c>
      <c r="X134" s="69"/>
      <c r="Y134" s="69"/>
      <c r="Z134" s="69"/>
    </row>
    <row r="135" ht="15.75" hidden="1" customHeight="1">
      <c r="A135" s="44">
        <v>46225.0</v>
      </c>
      <c r="B135" s="49" t="s">
        <v>32</v>
      </c>
      <c r="C135" s="51">
        <v>788.0</v>
      </c>
      <c r="D135" s="51" t="s">
        <v>55</v>
      </c>
      <c r="E135" s="51">
        <v>788.0</v>
      </c>
      <c r="F135" s="51" t="s">
        <v>49</v>
      </c>
      <c r="G135" s="51" t="s">
        <v>46</v>
      </c>
      <c r="H135" s="45" t="s">
        <v>35</v>
      </c>
      <c r="I135" s="31">
        <f t="shared" si="1"/>
        <v>23</v>
      </c>
      <c r="J135" s="52">
        <v>70.1</v>
      </c>
      <c r="K135" s="34">
        <f t="shared" si="2"/>
        <v>70.76258904</v>
      </c>
      <c r="L135" s="51">
        <v>15.0</v>
      </c>
      <c r="M135" s="51">
        <v>2500.0</v>
      </c>
      <c r="N135" s="51">
        <v>12000.0</v>
      </c>
      <c r="O135" s="51">
        <v>7.0</v>
      </c>
      <c r="P135" s="53">
        <v>25602.0</v>
      </c>
      <c r="Q135" s="38">
        <v>0.0</v>
      </c>
      <c r="R135" s="38">
        <v>0.0</v>
      </c>
      <c r="S135" s="38">
        <v>0.0</v>
      </c>
      <c r="T135" s="38">
        <f t="shared" si="3"/>
        <v>25602</v>
      </c>
      <c r="U135" s="39">
        <f t="shared" si="4"/>
        <v>46248</v>
      </c>
      <c r="V135" s="40">
        <f t="shared" si="5"/>
        <v>1794700.2</v>
      </c>
      <c r="W135" s="42">
        <f t="shared" si="6"/>
        <v>16963.60463</v>
      </c>
      <c r="X135" s="69"/>
      <c r="Y135" s="69"/>
      <c r="Z135" s="69"/>
    </row>
    <row r="136" ht="15.75" hidden="1" customHeight="1">
      <c r="A136" s="44">
        <v>46225.0</v>
      </c>
      <c r="B136" s="49" t="s">
        <v>32</v>
      </c>
      <c r="C136" s="51">
        <v>788.0</v>
      </c>
      <c r="D136" s="51" t="s">
        <v>55</v>
      </c>
      <c r="E136" s="51">
        <v>788.0</v>
      </c>
      <c r="F136" s="51" t="s">
        <v>49</v>
      </c>
      <c r="G136" s="51" t="s">
        <v>46</v>
      </c>
      <c r="H136" s="45" t="s">
        <v>35</v>
      </c>
      <c r="I136" s="31">
        <f t="shared" si="1"/>
        <v>23</v>
      </c>
      <c r="J136" s="52">
        <v>70.1</v>
      </c>
      <c r="K136" s="34">
        <f t="shared" si="2"/>
        <v>70.76258904</v>
      </c>
      <c r="L136" s="51">
        <v>16.0</v>
      </c>
      <c r="M136" s="51">
        <v>2000.0</v>
      </c>
      <c r="N136" s="51">
        <v>12000.0</v>
      </c>
      <c r="O136" s="51">
        <v>7.5</v>
      </c>
      <c r="P136" s="53">
        <v>23110.0</v>
      </c>
      <c r="Q136" s="38">
        <v>0.0</v>
      </c>
      <c r="R136" s="38">
        <v>0.0</v>
      </c>
      <c r="S136" s="38">
        <v>0.0</v>
      </c>
      <c r="T136" s="38">
        <f t="shared" si="3"/>
        <v>23110</v>
      </c>
      <c r="U136" s="39">
        <f t="shared" si="4"/>
        <v>46248</v>
      </c>
      <c r="V136" s="40">
        <f t="shared" si="5"/>
        <v>1620011</v>
      </c>
      <c r="W136" s="42">
        <f t="shared" si="6"/>
        <v>15312.43274</v>
      </c>
      <c r="X136" s="69"/>
      <c r="Y136" s="69"/>
      <c r="Z136" s="69"/>
    </row>
    <row r="137" ht="15.75" hidden="1" customHeight="1">
      <c r="A137" s="44">
        <v>46225.0</v>
      </c>
      <c r="B137" s="49" t="s">
        <v>32</v>
      </c>
      <c r="C137" s="51">
        <v>788.0</v>
      </c>
      <c r="D137" s="51" t="s">
        <v>55</v>
      </c>
      <c r="E137" s="51">
        <v>788.0</v>
      </c>
      <c r="F137" s="51" t="s">
        <v>49</v>
      </c>
      <c r="G137" s="51" t="s">
        <v>46</v>
      </c>
      <c r="H137" s="45" t="s">
        <v>35</v>
      </c>
      <c r="I137" s="31">
        <f t="shared" si="1"/>
        <v>23</v>
      </c>
      <c r="J137" s="52">
        <v>70.1</v>
      </c>
      <c r="K137" s="34">
        <f t="shared" si="2"/>
        <v>70.76258904</v>
      </c>
      <c r="L137" s="51">
        <v>20.0</v>
      </c>
      <c r="M137" s="51">
        <v>2000.0</v>
      </c>
      <c r="N137" s="51">
        <v>12000.0</v>
      </c>
      <c r="O137" s="51">
        <v>3.0</v>
      </c>
      <c r="P137" s="53">
        <v>11620.0</v>
      </c>
      <c r="Q137" s="38">
        <v>0.0</v>
      </c>
      <c r="R137" s="38">
        <v>0.0</v>
      </c>
      <c r="S137" s="38">
        <v>0.0</v>
      </c>
      <c r="T137" s="38">
        <f t="shared" si="3"/>
        <v>11620</v>
      </c>
      <c r="U137" s="39">
        <f t="shared" si="4"/>
        <v>46248</v>
      </c>
      <c r="V137" s="40">
        <f t="shared" si="5"/>
        <v>814562</v>
      </c>
      <c r="W137" s="42">
        <f t="shared" si="6"/>
        <v>7699.284658</v>
      </c>
      <c r="X137" s="69"/>
      <c r="Y137" s="69"/>
      <c r="Z137" s="69"/>
    </row>
    <row r="138" ht="15.75" hidden="1" customHeight="1">
      <c r="A138" s="44">
        <v>45721.0</v>
      </c>
      <c r="B138" s="49" t="s">
        <v>32</v>
      </c>
      <c r="C138" s="51">
        <v>788.0</v>
      </c>
      <c r="D138" s="51" t="s">
        <v>155</v>
      </c>
      <c r="E138" s="51">
        <v>788.0</v>
      </c>
      <c r="F138" s="51" t="s">
        <v>35</v>
      </c>
      <c r="G138" s="51" t="s">
        <v>72</v>
      </c>
      <c r="H138" s="49" t="s">
        <v>35</v>
      </c>
      <c r="I138" s="31">
        <f t="shared" si="1"/>
        <v>527</v>
      </c>
      <c r="J138" s="52">
        <v>57.0</v>
      </c>
      <c r="K138" s="34">
        <f t="shared" si="2"/>
        <v>69.34479452</v>
      </c>
      <c r="L138" s="51">
        <v>8.0</v>
      </c>
      <c r="M138" s="51">
        <v>2500.0</v>
      </c>
      <c r="N138" s="51">
        <v>6000.0</v>
      </c>
      <c r="O138" s="51">
        <v>1.0</v>
      </c>
      <c r="P138" s="53">
        <v>950.0</v>
      </c>
      <c r="Q138" s="38">
        <v>0.0</v>
      </c>
      <c r="R138" s="38">
        <v>0.0</v>
      </c>
      <c r="S138" s="38">
        <v>0.0</v>
      </c>
      <c r="T138" s="38">
        <f t="shared" si="3"/>
        <v>950</v>
      </c>
      <c r="U138" s="39">
        <f t="shared" si="4"/>
        <v>46248</v>
      </c>
      <c r="V138" s="40">
        <f t="shared" si="5"/>
        <v>54150</v>
      </c>
      <c r="W138" s="42">
        <f t="shared" si="6"/>
        <v>11727.55479</v>
      </c>
      <c r="X138" s="69"/>
      <c r="Y138" s="69"/>
      <c r="Z138" s="69"/>
    </row>
    <row r="139" ht="15.75" customHeight="1">
      <c r="A139" s="44">
        <v>46179.0</v>
      </c>
      <c r="B139" s="49" t="s">
        <v>32</v>
      </c>
      <c r="C139" s="51">
        <v>788.0</v>
      </c>
      <c r="D139" s="51" t="s">
        <v>55</v>
      </c>
      <c r="E139" s="51">
        <v>788.0</v>
      </c>
      <c r="F139" s="51" t="s">
        <v>49</v>
      </c>
      <c r="G139" s="51" t="s">
        <v>124</v>
      </c>
      <c r="H139" s="45" t="s">
        <v>156</v>
      </c>
      <c r="I139" s="31">
        <f t="shared" si="1"/>
        <v>69</v>
      </c>
      <c r="J139" s="52">
        <v>65.0</v>
      </c>
      <c r="K139" s="34">
        <f t="shared" si="2"/>
        <v>66.84315068</v>
      </c>
      <c r="L139" s="51">
        <v>120.0</v>
      </c>
      <c r="M139" s="51">
        <v>2060.0</v>
      </c>
      <c r="N139" s="51">
        <v>5730.0</v>
      </c>
      <c r="O139" s="51">
        <v>1.0</v>
      </c>
      <c r="P139" s="57">
        <v>11390.0</v>
      </c>
      <c r="Q139" s="38">
        <v>0.0</v>
      </c>
      <c r="R139" s="38">
        <v>0.0</v>
      </c>
      <c r="S139" s="38">
        <v>0.0</v>
      </c>
      <c r="T139" s="38">
        <f t="shared" si="3"/>
        <v>11390</v>
      </c>
      <c r="U139" s="39">
        <f t="shared" si="4"/>
        <v>46248</v>
      </c>
      <c r="V139" s="40">
        <f t="shared" si="5"/>
        <v>740350</v>
      </c>
      <c r="W139" s="42">
        <f t="shared" si="6"/>
        <v>20993.4863</v>
      </c>
      <c r="X139" s="69"/>
      <c r="Y139" s="69"/>
      <c r="Z139" s="69"/>
    </row>
    <row r="140" ht="15.75" customHeight="1">
      <c r="A140" s="44">
        <v>46215.0</v>
      </c>
      <c r="B140" s="49" t="s">
        <v>32</v>
      </c>
      <c r="C140" s="51">
        <v>788.0</v>
      </c>
      <c r="D140" s="51" t="s">
        <v>122</v>
      </c>
      <c r="E140" s="51">
        <v>788.0</v>
      </c>
      <c r="F140" s="51" t="s">
        <v>123</v>
      </c>
      <c r="G140" s="51" t="s">
        <v>124</v>
      </c>
      <c r="H140" s="49" t="s">
        <v>35</v>
      </c>
      <c r="I140" s="31">
        <f t="shared" si="1"/>
        <v>33</v>
      </c>
      <c r="J140" s="52">
        <v>64.8</v>
      </c>
      <c r="K140" s="34">
        <f t="shared" si="2"/>
        <v>65.67879452</v>
      </c>
      <c r="L140" s="51">
        <v>8.0</v>
      </c>
      <c r="M140" s="51">
        <v>2500.0</v>
      </c>
      <c r="N140" s="51">
        <v>12000.0</v>
      </c>
      <c r="O140" s="51">
        <v>4.0</v>
      </c>
      <c r="P140" s="53">
        <v>7680.0</v>
      </c>
      <c r="Q140" s="38">
        <v>0.0</v>
      </c>
      <c r="R140" s="38">
        <v>0.0</v>
      </c>
      <c r="S140" s="38">
        <v>0.0</v>
      </c>
      <c r="T140" s="38">
        <f t="shared" si="3"/>
        <v>7680</v>
      </c>
      <c r="U140" s="39">
        <f t="shared" si="4"/>
        <v>46248</v>
      </c>
      <c r="V140" s="40">
        <f t="shared" si="5"/>
        <v>497664</v>
      </c>
      <c r="W140" s="42">
        <f t="shared" si="6"/>
        <v>6749.141918</v>
      </c>
      <c r="X140" s="69"/>
      <c r="Y140" s="69"/>
      <c r="Z140" s="69"/>
    </row>
    <row r="141" ht="15.75" customHeight="1">
      <c r="A141" s="44">
        <v>46216.0</v>
      </c>
      <c r="B141" s="49" t="s">
        <v>32</v>
      </c>
      <c r="C141" s="46" t="s">
        <v>142</v>
      </c>
      <c r="D141" s="46" t="s">
        <v>40</v>
      </c>
      <c r="E141" s="46" t="s">
        <v>142</v>
      </c>
      <c r="F141" s="46" t="s">
        <v>40</v>
      </c>
      <c r="G141" s="46" t="s">
        <v>143</v>
      </c>
      <c r="H141" s="45" t="s">
        <v>76</v>
      </c>
      <c r="I141" s="31">
        <f t="shared" si="1"/>
        <v>32</v>
      </c>
      <c r="J141" s="52">
        <v>70.33</v>
      </c>
      <c r="K141" s="34">
        <f t="shared" si="2"/>
        <v>71.25488767</v>
      </c>
      <c r="L141" s="46">
        <v>16.0</v>
      </c>
      <c r="M141" s="46">
        <v>2500.0</v>
      </c>
      <c r="N141" s="46">
        <v>6300.0</v>
      </c>
      <c r="O141" s="46">
        <v>1.0</v>
      </c>
      <c r="P141" s="36">
        <v>2008.0</v>
      </c>
      <c r="Q141" s="38">
        <v>0.0</v>
      </c>
      <c r="R141" s="38">
        <v>0.0</v>
      </c>
      <c r="S141" s="38">
        <v>0.0</v>
      </c>
      <c r="T141" s="38">
        <f t="shared" si="3"/>
        <v>2008</v>
      </c>
      <c r="U141" s="39">
        <f t="shared" si="4"/>
        <v>46248</v>
      </c>
      <c r="V141" s="40">
        <f t="shared" si="5"/>
        <v>141222.64</v>
      </c>
      <c r="W141" s="42">
        <f t="shared" si="6"/>
        <v>1857.174444</v>
      </c>
      <c r="X141" s="69"/>
      <c r="Y141" s="69"/>
      <c r="Z141" s="69"/>
    </row>
    <row r="142" ht="15.75" customHeight="1">
      <c r="A142" s="44">
        <v>46142.0</v>
      </c>
      <c r="B142" s="49" t="s">
        <v>32</v>
      </c>
      <c r="C142" s="51" t="s">
        <v>142</v>
      </c>
      <c r="D142" s="51" t="s">
        <v>40</v>
      </c>
      <c r="E142" s="51" t="s">
        <v>142</v>
      </c>
      <c r="F142" s="51" t="s">
        <v>40</v>
      </c>
      <c r="G142" s="51" t="s">
        <v>141</v>
      </c>
      <c r="H142" s="45" t="s">
        <v>115</v>
      </c>
      <c r="I142" s="31">
        <f t="shared" si="1"/>
        <v>106</v>
      </c>
      <c r="J142" s="52">
        <v>67.1</v>
      </c>
      <c r="K142" s="34">
        <f t="shared" si="2"/>
        <v>70.0229863</v>
      </c>
      <c r="L142" s="51">
        <v>12.0</v>
      </c>
      <c r="M142" s="51">
        <v>2500.0</v>
      </c>
      <c r="N142" s="51">
        <v>12000.0</v>
      </c>
      <c r="O142" s="51">
        <v>3.0</v>
      </c>
      <c r="P142" s="53">
        <v>8640.0</v>
      </c>
      <c r="Q142" s="38">
        <v>0.0</v>
      </c>
      <c r="R142" s="38">
        <v>0.0</v>
      </c>
      <c r="S142" s="38">
        <v>0.0</v>
      </c>
      <c r="T142" s="38">
        <f t="shared" si="3"/>
        <v>8640</v>
      </c>
      <c r="U142" s="39">
        <f t="shared" si="4"/>
        <v>46248</v>
      </c>
      <c r="V142" s="40">
        <f t="shared" si="5"/>
        <v>579744</v>
      </c>
      <c r="W142" s="42">
        <f t="shared" si="6"/>
        <v>25254.60164</v>
      </c>
      <c r="X142" s="69"/>
      <c r="Y142" s="69"/>
      <c r="Z142" s="69"/>
    </row>
    <row r="143" ht="15.75" customHeight="1">
      <c r="A143" s="44">
        <v>46215.0</v>
      </c>
      <c r="B143" s="49" t="s">
        <v>32</v>
      </c>
      <c r="C143" s="51" t="s">
        <v>142</v>
      </c>
      <c r="D143" s="51" t="s">
        <v>40</v>
      </c>
      <c r="E143" s="51" t="s">
        <v>142</v>
      </c>
      <c r="F143" s="51" t="s">
        <v>40</v>
      </c>
      <c r="G143" s="51" t="s">
        <v>141</v>
      </c>
      <c r="H143" s="45" t="s">
        <v>115</v>
      </c>
      <c r="I143" s="31">
        <f t="shared" si="1"/>
        <v>33</v>
      </c>
      <c r="J143" s="52">
        <v>68.1</v>
      </c>
      <c r="K143" s="34">
        <f t="shared" si="2"/>
        <v>69.02354795</v>
      </c>
      <c r="L143" s="51">
        <v>22.0</v>
      </c>
      <c r="M143" s="51">
        <v>2500.0</v>
      </c>
      <c r="N143" s="51">
        <v>12000.0</v>
      </c>
      <c r="O143" s="51">
        <v>1.0</v>
      </c>
      <c r="P143" s="53">
        <v>5290.0</v>
      </c>
      <c r="Q143" s="38">
        <v>0.0</v>
      </c>
      <c r="R143" s="38">
        <v>0.0</v>
      </c>
      <c r="S143" s="38">
        <v>0.0</v>
      </c>
      <c r="T143" s="38">
        <f t="shared" si="3"/>
        <v>5290</v>
      </c>
      <c r="U143" s="39">
        <f t="shared" si="4"/>
        <v>46248</v>
      </c>
      <c r="V143" s="40">
        <f t="shared" si="5"/>
        <v>360249</v>
      </c>
      <c r="W143" s="42">
        <f t="shared" si="6"/>
        <v>4885.56863</v>
      </c>
      <c r="X143" s="69"/>
      <c r="Y143" s="69"/>
      <c r="Z143" s="69"/>
    </row>
    <row r="144" ht="15.75" customHeight="1">
      <c r="A144" s="44">
        <v>46236.0</v>
      </c>
      <c r="B144" s="49" t="s">
        <v>32</v>
      </c>
      <c r="C144" s="51">
        <v>788.0</v>
      </c>
      <c r="D144" s="51" t="s">
        <v>157</v>
      </c>
      <c r="E144" s="51">
        <v>788.0</v>
      </c>
      <c r="F144" s="51" t="s">
        <v>123</v>
      </c>
      <c r="G144" s="51" t="s">
        <v>124</v>
      </c>
      <c r="H144" s="49" t="s">
        <v>35</v>
      </c>
      <c r="I144" s="31">
        <f t="shared" si="1"/>
        <v>12</v>
      </c>
      <c r="J144" s="52">
        <v>63.25</v>
      </c>
      <c r="K144" s="34">
        <f t="shared" si="2"/>
        <v>63.56191781</v>
      </c>
      <c r="L144" s="51">
        <v>8.0</v>
      </c>
      <c r="M144" s="51">
        <v>2500.0</v>
      </c>
      <c r="N144" s="51">
        <v>12000.0</v>
      </c>
      <c r="O144" s="51">
        <v>4.0</v>
      </c>
      <c r="P144" s="53">
        <v>7940.0</v>
      </c>
      <c r="Q144" s="38">
        <v>0.0</v>
      </c>
      <c r="R144" s="38">
        <v>0.0</v>
      </c>
      <c r="S144" s="38">
        <v>0.0</v>
      </c>
      <c r="T144" s="38">
        <f t="shared" si="3"/>
        <v>7940</v>
      </c>
      <c r="U144" s="39">
        <f t="shared" si="4"/>
        <v>46248</v>
      </c>
      <c r="V144" s="40">
        <f t="shared" si="5"/>
        <v>502205</v>
      </c>
      <c r="W144" s="42">
        <f t="shared" si="6"/>
        <v>2476.627397</v>
      </c>
      <c r="X144" s="69"/>
      <c r="Y144" s="69"/>
      <c r="Z144" s="69"/>
    </row>
    <row r="145" ht="15.75" customHeight="1">
      <c r="A145" s="44">
        <v>46228.0</v>
      </c>
      <c r="B145" s="49" t="s">
        <v>32</v>
      </c>
      <c r="C145" s="51" t="s">
        <v>142</v>
      </c>
      <c r="D145" s="51" t="s">
        <v>40</v>
      </c>
      <c r="E145" s="51" t="s">
        <v>142</v>
      </c>
      <c r="F145" s="51" t="s">
        <v>35</v>
      </c>
      <c r="G145" s="51" t="s">
        <v>124</v>
      </c>
      <c r="H145" s="45" t="s">
        <v>76</v>
      </c>
      <c r="I145" s="31">
        <f t="shared" si="1"/>
        <v>20</v>
      </c>
      <c r="J145" s="52">
        <v>60.1</v>
      </c>
      <c r="K145" s="34">
        <f t="shared" si="2"/>
        <v>60.5939726</v>
      </c>
      <c r="L145" s="51">
        <v>12.0</v>
      </c>
      <c r="M145" s="51">
        <v>2500.0</v>
      </c>
      <c r="N145" s="51">
        <v>7000.0</v>
      </c>
      <c r="O145" s="51">
        <v>17.0</v>
      </c>
      <c r="P145" s="53">
        <v>28131.0</v>
      </c>
      <c r="Q145" s="38">
        <v>0.0</v>
      </c>
      <c r="R145" s="38">
        <v>0.0</v>
      </c>
      <c r="S145" s="38">
        <v>0.0</v>
      </c>
      <c r="T145" s="38">
        <f t="shared" si="3"/>
        <v>28131</v>
      </c>
      <c r="U145" s="39">
        <f t="shared" si="4"/>
        <v>46248</v>
      </c>
      <c r="V145" s="40">
        <f t="shared" si="5"/>
        <v>1690673.1</v>
      </c>
      <c r="W145" s="42">
        <f t="shared" si="6"/>
        <v>13895.94329</v>
      </c>
      <c r="X145" s="69"/>
      <c r="Y145" s="69"/>
      <c r="Z145" s="69"/>
    </row>
    <row r="146" ht="15.75" customHeight="1">
      <c r="A146" s="44">
        <v>46238.0</v>
      </c>
      <c r="B146" s="49" t="s">
        <v>32</v>
      </c>
      <c r="C146" s="51" t="s">
        <v>142</v>
      </c>
      <c r="D146" s="51" t="s">
        <v>40</v>
      </c>
      <c r="E146" s="51" t="s">
        <v>142</v>
      </c>
      <c r="F146" s="51" t="s">
        <v>35</v>
      </c>
      <c r="G146" s="51" t="s">
        <v>124</v>
      </c>
      <c r="H146" s="49" t="s">
        <v>35</v>
      </c>
      <c r="I146" s="31">
        <f t="shared" si="1"/>
        <v>10</v>
      </c>
      <c r="J146" s="52">
        <v>59.1</v>
      </c>
      <c r="K146" s="34">
        <f t="shared" si="2"/>
        <v>59.34287671</v>
      </c>
      <c r="L146" s="51">
        <v>12.0</v>
      </c>
      <c r="M146" s="51">
        <v>2500.0</v>
      </c>
      <c r="N146" s="51">
        <v>7000.0</v>
      </c>
      <c r="O146" s="51">
        <v>3.0</v>
      </c>
      <c r="P146" s="53">
        <v>4963.0</v>
      </c>
      <c r="Q146" s="38">
        <v>0.0</v>
      </c>
      <c r="R146" s="38">
        <v>0.0</v>
      </c>
      <c r="S146" s="38">
        <v>0.0</v>
      </c>
      <c r="T146" s="38">
        <f t="shared" si="3"/>
        <v>4963</v>
      </c>
      <c r="U146" s="39">
        <f t="shared" si="4"/>
        <v>46248</v>
      </c>
      <c r="V146" s="40">
        <f t="shared" si="5"/>
        <v>293313.3</v>
      </c>
      <c r="W146" s="42">
        <f t="shared" si="6"/>
        <v>1205.397123</v>
      </c>
      <c r="X146" s="69"/>
      <c r="Y146" s="69"/>
      <c r="Z146" s="69"/>
    </row>
    <row r="147" ht="15.75" customHeight="1">
      <c r="A147" s="44">
        <v>46228.0</v>
      </c>
      <c r="B147" s="49" t="s">
        <v>32</v>
      </c>
      <c r="C147" s="51" t="s">
        <v>142</v>
      </c>
      <c r="D147" s="51" t="s">
        <v>40</v>
      </c>
      <c r="E147" s="51" t="s">
        <v>142</v>
      </c>
      <c r="F147" s="51" t="s">
        <v>35</v>
      </c>
      <c r="G147" s="51" t="s">
        <v>124</v>
      </c>
      <c r="H147" s="45" t="s">
        <v>76</v>
      </c>
      <c r="I147" s="31">
        <f t="shared" si="1"/>
        <v>20</v>
      </c>
      <c r="J147" s="52">
        <v>59.1</v>
      </c>
      <c r="K147" s="34">
        <f t="shared" si="2"/>
        <v>59.58575342</v>
      </c>
      <c r="L147" s="51">
        <v>12.0</v>
      </c>
      <c r="M147" s="51">
        <v>2500.0</v>
      </c>
      <c r="N147" s="51">
        <v>12000.0</v>
      </c>
      <c r="O147" s="51">
        <v>11.0</v>
      </c>
      <c r="P147" s="53">
        <v>31253.0</v>
      </c>
      <c r="Q147" s="38">
        <v>0.0</v>
      </c>
      <c r="R147" s="38">
        <v>0.0</v>
      </c>
      <c r="S147" s="38">
        <v>0.0</v>
      </c>
      <c r="T147" s="38">
        <f t="shared" si="3"/>
        <v>31253</v>
      </c>
      <c r="U147" s="39">
        <f t="shared" si="4"/>
        <v>46248</v>
      </c>
      <c r="V147" s="40">
        <f t="shared" si="5"/>
        <v>1847052.3</v>
      </c>
      <c r="W147" s="42">
        <f t="shared" si="6"/>
        <v>15181.25178</v>
      </c>
      <c r="X147" s="69"/>
      <c r="Y147" s="69"/>
      <c r="Z147" s="69"/>
    </row>
    <row r="148" ht="15.75" customHeight="1">
      <c r="A148" s="44">
        <v>46228.0</v>
      </c>
      <c r="B148" s="49" t="s">
        <v>32</v>
      </c>
      <c r="C148" s="51" t="s">
        <v>142</v>
      </c>
      <c r="D148" s="51" t="s">
        <v>40</v>
      </c>
      <c r="E148" s="51" t="s">
        <v>142</v>
      </c>
      <c r="F148" s="51" t="s">
        <v>35</v>
      </c>
      <c r="G148" s="51" t="s">
        <v>124</v>
      </c>
      <c r="H148" s="45" t="s">
        <v>76</v>
      </c>
      <c r="I148" s="31">
        <f t="shared" si="1"/>
        <v>20</v>
      </c>
      <c r="J148" s="52">
        <v>60.1</v>
      </c>
      <c r="K148" s="34">
        <f t="shared" si="2"/>
        <v>60.5939726</v>
      </c>
      <c r="L148" s="51">
        <v>10.0</v>
      </c>
      <c r="M148" s="51">
        <v>2500.0</v>
      </c>
      <c r="N148" s="51">
        <v>12000.0</v>
      </c>
      <c r="O148" s="51">
        <v>4.0</v>
      </c>
      <c r="P148" s="53">
        <v>9618.0</v>
      </c>
      <c r="Q148" s="38">
        <v>0.0</v>
      </c>
      <c r="R148" s="38">
        <v>0.0</v>
      </c>
      <c r="S148" s="38">
        <v>0.0</v>
      </c>
      <c r="T148" s="38">
        <f t="shared" si="3"/>
        <v>9618</v>
      </c>
      <c r="U148" s="39">
        <f t="shared" si="4"/>
        <v>46248</v>
      </c>
      <c r="V148" s="40">
        <f t="shared" si="5"/>
        <v>578041.8</v>
      </c>
      <c r="W148" s="42">
        <f t="shared" si="6"/>
        <v>4751.028493</v>
      </c>
      <c r="X148" s="69"/>
      <c r="Y148" s="69"/>
      <c r="Z148" s="69"/>
    </row>
    <row r="149" ht="15.75" customHeight="1">
      <c r="A149" s="44">
        <v>46228.0</v>
      </c>
      <c r="B149" s="49" t="s">
        <v>32</v>
      </c>
      <c r="C149" s="51" t="s">
        <v>142</v>
      </c>
      <c r="D149" s="51" t="s">
        <v>40</v>
      </c>
      <c r="E149" s="51" t="s">
        <v>142</v>
      </c>
      <c r="F149" s="51" t="s">
        <v>35</v>
      </c>
      <c r="G149" s="51" t="s">
        <v>124</v>
      </c>
      <c r="H149" s="45" t="s">
        <v>76</v>
      </c>
      <c r="I149" s="31">
        <f t="shared" si="1"/>
        <v>20</v>
      </c>
      <c r="J149" s="52">
        <v>60.1</v>
      </c>
      <c r="K149" s="34">
        <f t="shared" si="2"/>
        <v>60.5939726</v>
      </c>
      <c r="L149" s="51">
        <v>10.0</v>
      </c>
      <c r="M149" s="51">
        <v>2500.0</v>
      </c>
      <c r="N149" s="51">
        <v>7000.0</v>
      </c>
      <c r="O149" s="51">
        <v>1.0</v>
      </c>
      <c r="P149" s="53">
        <v>1378.0</v>
      </c>
      <c r="Q149" s="38">
        <v>0.0</v>
      </c>
      <c r="R149" s="38">
        <v>0.0</v>
      </c>
      <c r="S149" s="38">
        <v>0.0</v>
      </c>
      <c r="T149" s="38">
        <f t="shared" si="3"/>
        <v>1378</v>
      </c>
      <c r="U149" s="39">
        <f t="shared" si="4"/>
        <v>46248</v>
      </c>
      <c r="V149" s="40">
        <f t="shared" si="5"/>
        <v>82817.8</v>
      </c>
      <c r="W149" s="42">
        <f t="shared" si="6"/>
        <v>680.6942466</v>
      </c>
      <c r="X149" s="69"/>
      <c r="Y149" s="69"/>
      <c r="Z149" s="69"/>
    </row>
    <row r="150" ht="15.75" customHeight="1">
      <c r="A150" s="44">
        <v>46238.0</v>
      </c>
      <c r="B150" s="49" t="s">
        <v>32</v>
      </c>
      <c r="C150" s="51" t="s">
        <v>142</v>
      </c>
      <c r="D150" s="51" t="s">
        <v>40</v>
      </c>
      <c r="E150" s="51" t="s">
        <v>142</v>
      </c>
      <c r="F150" s="51" t="s">
        <v>35</v>
      </c>
      <c r="G150" s="51" t="s">
        <v>124</v>
      </c>
      <c r="H150" s="49" t="s">
        <v>35</v>
      </c>
      <c r="I150" s="31">
        <f t="shared" si="1"/>
        <v>10</v>
      </c>
      <c r="J150" s="52">
        <v>60.6</v>
      </c>
      <c r="K150" s="34">
        <f t="shared" si="2"/>
        <v>60.8490411</v>
      </c>
      <c r="L150" s="51">
        <v>8.0</v>
      </c>
      <c r="M150" s="51">
        <v>2500.0</v>
      </c>
      <c r="N150" s="51">
        <v>12000.0</v>
      </c>
      <c r="O150" s="51">
        <v>4.0</v>
      </c>
      <c r="P150" s="53">
        <v>7569.0</v>
      </c>
      <c r="Q150" s="38">
        <v>0.0</v>
      </c>
      <c r="R150" s="38">
        <v>0.0</v>
      </c>
      <c r="S150" s="38">
        <v>0.0</v>
      </c>
      <c r="T150" s="38">
        <f t="shared" si="3"/>
        <v>7569</v>
      </c>
      <c r="U150" s="39">
        <f t="shared" si="4"/>
        <v>46248</v>
      </c>
      <c r="V150" s="40">
        <f t="shared" si="5"/>
        <v>458681.4</v>
      </c>
      <c r="W150" s="42">
        <f t="shared" si="6"/>
        <v>1884.992055</v>
      </c>
      <c r="X150" s="69"/>
      <c r="Y150" s="69"/>
      <c r="Z150" s="69"/>
    </row>
    <row r="151" ht="15.75" hidden="1" customHeight="1">
      <c r="A151" s="44">
        <v>46080.0</v>
      </c>
      <c r="B151" s="49" t="s">
        <v>32</v>
      </c>
      <c r="C151" s="46">
        <v>788.0</v>
      </c>
      <c r="D151" s="46" t="s">
        <v>40</v>
      </c>
      <c r="E151" s="46">
        <v>788.0</v>
      </c>
      <c r="F151" s="46" t="s">
        <v>40</v>
      </c>
      <c r="G151" s="46" t="s">
        <v>95</v>
      </c>
      <c r="H151" s="45" t="s">
        <v>76</v>
      </c>
      <c r="I151" s="31">
        <f t="shared" si="1"/>
        <v>168</v>
      </c>
      <c r="J151" s="52">
        <v>92.0</v>
      </c>
      <c r="K151" s="34">
        <f t="shared" si="2"/>
        <v>98.35178082</v>
      </c>
      <c r="L151" s="46">
        <v>8.0</v>
      </c>
      <c r="M151" s="46">
        <v>2000.0</v>
      </c>
      <c r="N151" s="46">
        <v>6000.0</v>
      </c>
      <c r="O151" s="46">
        <v>10.0</v>
      </c>
      <c r="P151" s="36">
        <v>7740.0</v>
      </c>
      <c r="Q151" s="38">
        <v>0.0</v>
      </c>
      <c r="R151" s="38">
        <v>0.0</v>
      </c>
      <c r="S151" s="38">
        <v>0.0</v>
      </c>
      <c r="T151" s="38">
        <f t="shared" si="3"/>
        <v>7740</v>
      </c>
      <c r="U151" s="39">
        <f t="shared" si="4"/>
        <v>46248</v>
      </c>
      <c r="V151" s="40">
        <f t="shared" si="5"/>
        <v>712080</v>
      </c>
      <c r="W151" s="42">
        <f t="shared" si="6"/>
        <v>49162.78356</v>
      </c>
      <c r="X151" s="69"/>
      <c r="Y151" s="69"/>
      <c r="Z151" s="69"/>
    </row>
    <row r="152" ht="15.75" hidden="1" customHeight="1">
      <c r="A152" s="44">
        <v>46216.0</v>
      </c>
      <c r="B152" s="49" t="s">
        <v>32</v>
      </c>
      <c r="C152" s="46" t="s">
        <v>75</v>
      </c>
      <c r="D152" s="46" t="s">
        <v>40</v>
      </c>
      <c r="E152" s="46" t="s">
        <v>75</v>
      </c>
      <c r="F152" s="46" t="s">
        <v>40</v>
      </c>
      <c r="G152" s="46" t="s">
        <v>95</v>
      </c>
      <c r="H152" s="45" t="s">
        <v>115</v>
      </c>
      <c r="I152" s="31">
        <f t="shared" si="1"/>
        <v>32</v>
      </c>
      <c r="J152" s="52">
        <v>90.0</v>
      </c>
      <c r="K152" s="34">
        <f t="shared" si="2"/>
        <v>91.18356164</v>
      </c>
      <c r="L152" s="46">
        <v>12.0</v>
      </c>
      <c r="M152" s="46">
        <v>2000.0</v>
      </c>
      <c r="N152" s="46">
        <v>6000.0</v>
      </c>
      <c r="O152" s="46">
        <v>10.0</v>
      </c>
      <c r="P152" s="36">
        <v>11460.0</v>
      </c>
      <c r="Q152" s="38">
        <v>0.0</v>
      </c>
      <c r="R152" s="38">
        <v>0.0</v>
      </c>
      <c r="S152" s="38">
        <v>0.0</v>
      </c>
      <c r="T152" s="38">
        <f t="shared" si="3"/>
        <v>11460</v>
      </c>
      <c r="U152" s="39">
        <f t="shared" si="4"/>
        <v>46248</v>
      </c>
      <c r="V152" s="40">
        <f t="shared" si="5"/>
        <v>1031400</v>
      </c>
      <c r="W152" s="42">
        <f t="shared" si="6"/>
        <v>13563.61644</v>
      </c>
      <c r="Y152" s="69"/>
      <c r="Z152" s="69"/>
    </row>
    <row r="153" ht="15.75" customHeight="1">
      <c r="A153" s="44">
        <v>46067.0</v>
      </c>
      <c r="B153" s="49" t="s">
        <v>32</v>
      </c>
      <c r="C153" s="46" t="s">
        <v>75</v>
      </c>
      <c r="D153" s="46" t="s">
        <v>55</v>
      </c>
      <c r="E153" s="46">
        <v>788.0</v>
      </c>
      <c r="F153" s="46" t="s">
        <v>49</v>
      </c>
      <c r="G153" s="46" t="s">
        <v>13</v>
      </c>
      <c r="H153" s="46" t="s">
        <v>35</v>
      </c>
      <c r="I153" s="31">
        <f t="shared" si="1"/>
        <v>181</v>
      </c>
      <c r="J153" s="52">
        <v>109.5</v>
      </c>
      <c r="K153" s="34">
        <f t="shared" si="2"/>
        <v>117.645</v>
      </c>
      <c r="L153" s="46">
        <v>55.0</v>
      </c>
      <c r="M153" s="46">
        <v>2500.0</v>
      </c>
      <c r="N153" s="46">
        <v>6000.0</v>
      </c>
      <c r="O153" s="46">
        <v>2.0</v>
      </c>
      <c r="P153" s="60">
        <v>13300.0</v>
      </c>
      <c r="Q153" s="38">
        <v>0.0</v>
      </c>
      <c r="R153" s="38">
        <v>0.0</v>
      </c>
      <c r="S153" s="38">
        <v>0.0</v>
      </c>
      <c r="T153" s="38">
        <f t="shared" si="3"/>
        <v>13300</v>
      </c>
      <c r="U153" s="39">
        <f t="shared" si="4"/>
        <v>46248</v>
      </c>
      <c r="V153" s="40">
        <f t="shared" si="5"/>
        <v>1456350</v>
      </c>
      <c r="W153" s="42">
        <f t="shared" si="6"/>
        <v>108328.5</v>
      </c>
      <c r="X153" s="69"/>
      <c r="Y153" s="69"/>
      <c r="Z153" s="69"/>
    </row>
    <row r="154" ht="15.75" customHeight="1">
      <c r="A154" s="44">
        <v>46211.0</v>
      </c>
      <c r="B154" s="49" t="s">
        <v>32</v>
      </c>
      <c r="C154" s="51">
        <v>788.0</v>
      </c>
      <c r="D154" s="51" t="s">
        <v>40</v>
      </c>
      <c r="E154" s="51">
        <v>788.0</v>
      </c>
      <c r="F154" s="51" t="s">
        <v>40</v>
      </c>
      <c r="G154" s="51" t="s">
        <v>13</v>
      </c>
      <c r="H154" s="45" t="s">
        <v>35</v>
      </c>
      <c r="I154" s="31">
        <f t="shared" si="1"/>
        <v>37</v>
      </c>
      <c r="J154" s="52">
        <v>98.0</v>
      </c>
      <c r="K154" s="34">
        <f t="shared" si="2"/>
        <v>99.49013699</v>
      </c>
      <c r="L154" s="51">
        <v>8.0</v>
      </c>
      <c r="M154" s="51">
        <v>2500.0</v>
      </c>
      <c r="N154" s="51">
        <v>6000.0</v>
      </c>
      <c r="O154" s="51">
        <v>1.0</v>
      </c>
      <c r="P154" s="57">
        <v>1000.0</v>
      </c>
      <c r="Q154" s="38">
        <v>0.0</v>
      </c>
      <c r="R154" s="38">
        <v>0.0</v>
      </c>
      <c r="S154" s="38">
        <v>0.0</v>
      </c>
      <c r="T154" s="38">
        <f t="shared" si="3"/>
        <v>1000</v>
      </c>
      <c r="U154" s="39">
        <f t="shared" si="4"/>
        <v>46248</v>
      </c>
      <c r="V154" s="40">
        <f t="shared" si="5"/>
        <v>98000</v>
      </c>
      <c r="W154" s="42">
        <f t="shared" si="6"/>
        <v>1490.136986</v>
      </c>
      <c r="X154" s="69"/>
      <c r="Y154" s="69"/>
      <c r="Z154" s="69"/>
    </row>
    <row r="155" ht="15.75" hidden="1" customHeight="1">
      <c r="A155" s="44">
        <v>46242.0</v>
      </c>
      <c r="B155" s="49" t="s">
        <v>32</v>
      </c>
      <c r="C155" s="46">
        <v>788.0</v>
      </c>
      <c r="D155" s="46" t="s">
        <v>158</v>
      </c>
      <c r="E155" s="46">
        <v>788.0</v>
      </c>
      <c r="F155" s="46" t="s">
        <v>45</v>
      </c>
      <c r="G155" s="46" t="s">
        <v>46</v>
      </c>
      <c r="H155" s="45" t="s">
        <v>35</v>
      </c>
      <c r="I155" s="31">
        <f t="shared" si="1"/>
        <v>6</v>
      </c>
      <c r="J155" s="52">
        <v>69.474</v>
      </c>
      <c r="K155" s="34">
        <f t="shared" si="2"/>
        <v>69.64530575</v>
      </c>
      <c r="L155" s="46">
        <v>22.0</v>
      </c>
      <c r="M155" s="46">
        <v>2500.0</v>
      </c>
      <c r="N155" s="46">
        <v>12000.0</v>
      </c>
      <c r="O155" s="46">
        <v>2.0</v>
      </c>
      <c r="P155" s="36">
        <v>10560.0</v>
      </c>
      <c r="Q155" s="38">
        <v>0.0</v>
      </c>
      <c r="R155" s="38">
        <v>0.0</v>
      </c>
      <c r="S155" s="38">
        <v>0.0</v>
      </c>
      <c r="T155" s="38">
        <f t="shared" si="3"/>
        <v>10560</v>
      </c>
      <c r="U155" s="39">
        <f t="shared" si="4"/>
        <v>46248</v>
      </c>
      <c r="V155" s="40">
        <f t="shared" si="5"/>
        <v>733645.44</v>
      </c>
      <c r="W155" s="42">
        <f t="shared" si="6"/>
        <v>1808.988756</v>
      </c>
      <c r="X155" s="69"/>
      <c r="Y155" s="69"/>
      <c r="Z155" s="69"/>
    </row>
    <row r="156" ht="15.75" hidden="1" customHeight="1">
      <c r="A156" s="44">
        <v>46242.0</v>
      </c>
      <c r="B156" s="49" t="s">
        <v>32</v>
      </c>
      <c r="C156" s="46">
        <v>788.0</v>
      </c>
      <c r="D156" s="46" t="s">
        <v>44</v>
      </c>
      <c r="E156" s="46">
        <v>788.0</v>
      </c>
      <c r="F156" s="46" t="s">
        <v>45</v>
      </c>
      <c r="G156" s="46" t="s">
        <v>46</v>
      </c>
      <c r="H156" s="45" t="s">
        <v>35</v>
      </c>
      <c r="I156" s="31">
        <f t="shared" si="1"/>
        <v>6</v>
      </c>
      <c r="J156" s="52">
        <v>68.474</v>
      </c>
      <c r="K156" s="34">
        <f t="shared" si="2"/>
        <v>68.64284</v>
      </c>
      <c r="L156" s="46">
        <v>22.0</v>
      </c>
      <c r="M156" s="46">
        <v>2500.0</v>
      </c>
      <c r="N156" s="46">
        <v>12000.0</v>
      </c>
      <c r="O156" s="46">
        <v>1.0</v>
      </c>
      <c r="P156" s="36">
        <v>5280.0</v>
      </c>
      <c r="Q156" s="38">
        <v>0.0</v>
      </c>
      <c r="R156" s="38">
        <v>0.0</v>
      </c>
      <c r="S156" s="38">
        <v>0.0</v>
      </c>
      <c r="T156" s="38">
        <f t="shared" si="3"/>
        <v>5280</v>
      </c>
      <c r="U156" s="39">
        <f t="shared" si="4"/>
        <v>46248</v>
      </c>
      <c r="V156" s="40">
        <f t="shared" si="5"/>
        <v>361542.72</v>
      </c>
      <c r="W156" s="42">
        <f t="shared" si="6"/>
        <v>891.4752</v>
      </c>
      <c r="X156" s="69"/>
      <c r="Y156" s="69"/>
      <c r="Z156" s="69"/>
    </row>
    <row r="157" ht="15.75" hidden="1" customHeight="1">
      <c r="A157" s="44">
        <v>46242.0</v>
      </c>
      <c r="B157" s="49" t="s">
        <v>32</v>
      </c>
      <c r="C157" s="46">
        <v>788.0</v>
      </c>
      <c r="D157" s="46" t="s">
        <v>44</v>
      </c>
      <c r="E157" s="46">
        <v>788.0</v>
      </c>
      <c r="F157" s="46" t="s">
        <v>45</v>
      </c>
      <c r="G157" s="46" t="s">
        <v>46</v>
      </c>
      <c r="H157" s="45" t="s">
        <v>35</v>
      </c>
      <c r="I157" s="31">
        <f t="shared" si="1"/>
        <v>6</v>
      </c>
      <c r="J157" s="52">
        <v>69.25</v>
      </c>
      <c r="K157" s="34">
        <f t="shared" si="2"/>
        <v>69.42075342</v>
      </c>
      <c r="L157" s="46">
        <v>10.0</v>
      </c>
      <c r="M157" s="46">
        <v>2500.0</v>
      </c>
      <c r="N157" s="46">
        <v>12000.0</v>
      </c>
      <c r="O157" s="46">
        <v>2.0</v>
      </c>
      <c r="P157" s="36">
        <v>4800.0</v>
      </c>
      <c r="Q157" s="38">
        <v>0.0</v>
      </c>
      <c r="R157" s="38">
        <v>0.0</v>
      </c>
      <c r="S157" s="38">
        <v>0.0</v>
      </c>
      <c r="T157" s="38">
        <f t="shared" si="3"/>
        <v>4800</v>
      </c>
      <c r="U157" s="39">
        <f t="shared" si="4"/>
        <v>46248</v>
      </c>
      <c r="V157" s="40">
        <f t="shared" si="5"/>
        <v>332400</v>
      </c>
      <c r="W157" s="42">
        <f t="shared" si="6"/>
        <v>819.6164384</v>
      </c>
      <c r="X157" s="69"/>
      <c r="Y157" s="69"/>
      <c r="Z157" s="69"/>
    </row>
    <row r="158" ht="15.75" hidden="1" customHeight="1">
      <c r="A158" s="44">
        <v>46242.0</v>
      </c>
      <c r="B158" s="49" t="s">
        <v>32</v>
      </c>
      <c r="C158" s="51">
        <v>788.0</v>
      </c>
      <c r="D158" s="51" t="s">
        <v>44</v>
      </c>
      <c r="E158" s="51">
        <v>788.0</v>
      </c>
      <c r="F158" s="51" t="s">
        <v>45</v>
      </c>
      <c r="G158" s="51" t="s">
        <v>46</v>
      </c>
      <c r="H158" s="45" t="s">
        <v>35</v>
      </c>
      <c r="I158" s="31">
        <f t="shared" si="1"/>
        <v>6</v>
      </c>
      <c r="J158" s="52">
        <v>69.25</v>
      </c>
      <c r="K158" s="34">
        <f t="shared" si="2"/>
        <v>69.42075342</v>
      </c>
      <c r="L158" s="51">
        <v>16.0</v>
      </c>
      <c r="M158" s="51">
        <v>2500.0</v>
      </c>
      <c r="N158" s="51">
        <v>12000.0</v>
      </c>
      <c r="O158" s="51">
        <v>1.0</v>
      </c>
      <c r="P158" s="53">
        <v>3840.0</v>
      </c>
      <c r="Q158" s="38">
        <v>0.0</v>
      </c>
      <c r="R158" s="38">
        <v>0.0</v>
      </c>
      <c r="S158" s="38">
        <v>0.0</v>
      </c>
      <c r="T158" s="38">
        <f t="shared" si="3"/>
        <v>3840</v>
      </c>
      <c r="U158" s="39">
        <f t="shared" si="4"/>
        <v>46248</v>
      </c>
      <c r="V158" s="40">
        <f t="shared" si="5"/>
        <v>265920</v>
      </c>
      <c r="W158" s="42">
        <f t="shared" si="6"/>
        <v>655.6931507</v>
      </c>
      <c r="X158" s="69"/>
      <c r="Y158" s="69"/>
      <c r="Z158" s="69"/>
    </row>
    <row r="159" ht="15.75" hidden="1" customHeight="1">
      <c r="A159" s="44">
        <v>46232.0</v>
      </c>
      <c r="B159" s="49" t="s">
        <v>32</v>
      </c>
      <c r="C159" s="51">
        <v>788.0</v>
      </c>
      <c r="D159" s="51" t="s">
        <v>55</v>
      </c>
      <c r="E159" s="51">
        <v>788.0</v>
      </c>
      <c r="F159" s="51" t="s">
        <v>49</v>
      </c>
      <c r="G159" s="51" t="s">
        <v>46</v>
      </c>
      <c r="H159" s="45" t="s">
        <v>35</v>
      </c>
      <c r="I159" s="31">
        <f t="shared" si="1"/>
        <v>16</v>
      </c>
      <c r="J159" s="52">
        <v>70.1</v>
      </c>
      <c r="K159" s="34">
        <f t="shared" si="2"/>
        <v>70.56093151</v>
      </c>
      <c r="L159" s="51">
        <v>15.0</v>
      </c>
      <c r="M159" s="51">
        <v>2500.0</v>
      </c>
      <c r="N159" s="51">
        <v>12000.0</v>
      </c>
      <c r="O159" s="51">
        <v>9.0</v>
      </c>
      <c r="P159" s="53">
        <v>32800.0</v>
      </c>
      <c r="Q159" s="38">
        <v>0.0</v>
      </c>
      <c r="R159" s="38">
        <v>0.0</v>
      </c>
      <c r="S159" s="38">
        <v>0.0</v>
      </c>
      <c r="T159" s="38">
        <f t="shared" si="3"/>
        <v>32800</v>
      </c>
      <c r="U159" s="39">
        <f t="shared" si="4"/>
        <v>46248</v>
      </c>
      <c r="V159" s="40">
        <f t="shared" si="5"/>
        <v>2299280</v>
      </c>
      <c r="W159" s="42">
        <f t="shared" si="6"/>
        <v>15118.55342</v>
      </c>
      <c r="X159" s="69"/>
      <c r="Y159" s="69"/>
      <c r="Z159" s="69"/>
    </row>
    <row r="160" ht="15.75" hidden="1" customHeight="1">
      <c r="A160" s="44">
        <v>46242.0</v>
      </c>
      <c r="B160" s="49" t="s">
        <v>32</v>
      </c>
      <c r="C160" s="51">
        <v>788.0</v>
      </c>
      <c r="D160" s="51" t="s">
        <v>44</v>
      </c>
      <c r="E160" s="51">
        <v>788.0</v>
      </c>
      <c r="F160" s="51" t="s">
        <v>45</v>
      </c>
      <c r="G160" s="51" t="s">
        <v>46</v>
      </c>
      <c r="H160" s="45" t="s">
        <v>35</v>
      </c>
      <c r="I160" s="31">
        <f t="shared" si="1"/>
        <v>6</v>
      </c>
      <c r="J160" s="52">
        <v>68.474</v>
      </c>
      <c r="K160" s="34">
        <f t="shared" si="2"/>
        <v>68.64284</v>
      </c>
      <c r="L160" s="51">
        <v>15.0</v>
      </c>
      <c r="M160" s="51">
        <v>2500.0</v>
      </c>
      <c r="N160" s="51">
        <v>12000.0</v>
      </c>
      <c r="O160" s="51">
        <v>3.0</v>
      </c>
      <c r="P160" s="53">
        <v>10800.0</v>
      </c>
      <c r="Q160" s="38">
        <v>0.0</v>
      </c>
      <c r="R160" s="38">
        <v>0.0</v>
      </c>
      <c r="S160" s="38">
        <v>0.0</v>
      </c>
      <c r="T160" s="38">
        <f t="shared" si="3"/>
        <v>10800</v>
      </c>
      <c r="U160" s="39">
        <f t="shared" si="4"/>
        <v>46248</v>
      </c>
      <c r="V160" s="40">
        <f t="shared" si="5"/>
        <v>739519.2</v>
      </c>
      <c r="W160" s="42">
        <f t="shared" si="6"/>
        <v>1823.472</v>
      </c>
      <c r="X160" s="69"/>
      <c r="Y160" s="69"/>
      <c r="Z160" s="69"/>
    </row>
    <row r="161" ht="15.75" hidden="1" customHeight="1">
      <c r="A161" s="44">
        <v>46245.0</v>
      </c>
      <c r="B161" s="49" t="s">
        <v>32</v>
      </c>
      <c r="C161" s="51">
        <v>788.0</v>
      </c>
      <c r="D161" s="51" t="s">
        <v>44</v>
      </c>
      <c r="E161" s="46">
        <v>788.0</v>
      </c>
      <c r="F161" s="51" t="s">
        <v>45</v>
      </c>
      <c r="G161" s="51" t="s">
        <v>46</v>
      </c>
      <c r="H161" s="49" t="s">
        <v>35</v>
      </c>
      <c r="I161" s="31">
        <f t="shared" si="1"/>
        <v>3</v>
      </c>
      <c r="J161" s="52">
        <v>69.25</v>
      </c>
      <c r="K161" s="34">
        <f t="shared" si="2"/>
        <v>69.33537671</v>
      </c>
      <c r="L161" s="51">
        <v>8.0</v>
      </c>
      <c r="M161" s="51">
        <v>2500.0</v>
      </c>
      <c r="N161" s="66">
        <v>12000.0</v>
      </c>
      <c r="O161" s="66">
        <v>5.0</v>
      </c>
      <c r="P161" s="67">
        <v>9600.0</v>
      </c>
      <c r="Q161" s="38">
        <v>0.0</v>
      </c>
      <c r="R161" s="38">
        <v>0.0</v>
      </c>
      <c r="S161" s="38">
        <v>0.0</v>
      </c>
      <c r="T161" s="38">
        <f t="shared" si="3"/>
        <v>9600</v>
      </c>
      <c r="U161" s="39">
        <f t="shared" si="4"/>
        <v>46248</v>
      </c>
      <c r="V161" s="40">
        <f t="shared" si="5"/>
        <v>664800</v>
      </c>
      <c r="W161" s="42">
        <f t="shared" si="6"/>
        <v>819.6164384</v>
      </c>
      <c r="X161" s="69"/>
      <c r="Y161" s="69"/>
      <c r="Z161" s="69"/>
    </row>
    <row r="162" ht="15.75" hidden="1" customHeight="1">
      <c r="A162" s="44">
        <v>46248.0</v>
      </c>
      <c r="B162" s="49" t="s">
        <v>32</v>
      </c>
      <c r="C162" s="51">
        <v>788.0</v>
      </c>
      <c r="D162" s="51" t="s">
        <v>44</v>
      </c>
      <c r="E162" s="46">
        <v>788.0</v>
      </c>
      <c r="F162" s="51" t="s">
        <v>45</v>
      </c>
      <c r="G162" s="51" t="s">
        <v>46</v>
      </c>
      <c r="H162" s="49" t="s">
        <v>35</v>
      </c>
      <c r="I162" s="31">
        <f t="shared" si="1"/>
        <v>0</v>
      </c>
      <c r="J162" s="52">
        <v>68.474</v>
      </c>
      <c r="K162" s="34">
        <f t="shared" si="2"/>
        <v>68.474</v>
      </c>
      <c r="L162" s="51">
        <v>14.0</v>
      </c>
      <c r="M162" s="51">
        <v>2500.0</v>
      </c>
      <c r="N162" s="66">
        <v>12000.0</v>
      </c>
      <c r="O162" s="66">
        <v>4.0</v>
      </c>
      <c r="P162" s="67">
        <v>13440.0</v>
      </c>
      <c r="Q162" s="38">
        <v>0.0</v>
      </c>
      <c r="R162" s="38">
        <v>0.0</v>
      </c>
      <c r="S162" s="38">
        <v>0.0</v>
      </c>
      <c r="T162" s="38">
        <f t="shared" si="3"/>
        <v>13440</v>
      </c>
      <c r="U162" s="39">
        <f t="shared" si="4"/>
        <v>46248</v>
      </c>
      <c r="V162" s="40">
        <f t="shared" si="5"/>
        <v>920290.56</v>
      </c>
      <c r="W162" s="42">
        <f t="shared" si="6"/>
        <v>0</v>
      </c>
      <c r="X162" s="69"/>
      <c r="Y162" s="69"/>
      <c r="Z162" s="69"/>
    </row>
    <row r="163" ht="15.75" hidden="1" customHeight="1">
      <c r="A163" s="44">
        <v>46240.0</v>
      </c>
      <c r="B163" s="49" t="s">
        <v>32</v>
      </c>
      <c r="C163" s="51">
        <v>788.0</v>
      </c>
      <c r="D163" s="51" t="s">
        <v>122</v>
      </c>
      <c r="E163" s="51">
        <v>788.0</v>
      </c>
      <c r="F163" s="51" t="s">
        <v>144</v>
      </c>
      <c r="G163" s="51" t="s">
        <v>46</v>
      </c>
      <c r="H163" s="45" t="s">
        <v>35</v>
      </c>
      <c r="I163" s="31">
        <f t="shared" si="1"/>
        <v>8</v>
      </c>
      <c r="J163" s="52">
        <v>69.8</v>
      </c>
      <c r="K163" s="34">
        <f t="shared" si="2"/>
        <v>70.02947945</v>
      </c>
      <c r="L163" s="51">
        <v>20.0</v>
      </c>
      <c r="M163" s="51">
        <v>2500.0</v>
      </c>
      <c r="N163" s="51">
        <v>12000.0</v>
      </c>
      <c r="O163" s="51">
        <v>3.0</v>
      </c>
      <c r="P163" s="53">
        <v>14830.0</v>
      </c>
      <c r="Q163" s="38">
        <v>0.0</v>
      </c>
      <c r="R163" s="38">
        <v>0.0</v>
      </c>
      <c r="S163" s="38">
        <v>0.0</v>
      </c>
      <c r="T163" s="38">
        <f t="shared" si="3"/>
        <v>14830</v>
      </c>
      <c r="U163" s="39">
        <f t="shared" si="4"/>
        <v>46248</v>
      </c>
      <c r="V163" s="40">
        <f t="shared" si="5"/>
        <v>1035134</v>
      </c>
      <c r="W163" s="42">
        <f t="shared" si="6"/>
        <v>3403.180274</v>
      </c>
      <c r="X163" s="69"/>
      <c r="Y163" s="69"/>
      <c r="Z163" s="69"/>
    </row>
    <row r="164" ht="15.75" hidden="1" customHeight="1">
      <c r="A164" s="44">
        <v>46241.0</v>
      </c>
      <c r="B164" s="49" t="s">
        <v>32</v>
      </c>
      <c r="C164" s="51">
        <v>788.0</v>
      </c>
      <c r="D164" s="51" t="s">
        <v>55</v>
      </c>
      <c r="E164" s="51">
        <v>788.0</v>
      </c>
      <c r="F164" s="51" t="s">
        <v>49</v>
      </c>
      <c r="G164" s="51" t="s">
        <v>46</v>
      </c>
      <c r="H164" s="45" t="s">
        <v>35</v>
      </c>
      <c r="I164" s="31">
        <f t="shared" si="1"/>
        <v>7</v>
      </c>
      <c r="J164" s="52">
        <v>70.1</v>
      </c>
      <c r="K164" s="34">
        <f t="shared" si="2"/>
        <v>70.30165753</v>
      </c>
      <c r="L164" s="51">
        <v>20.0</v>
      </c>
      <c r="M164" s="51">
        <v>2500.0</v>
      </c>
      <c r="N164" s="51">
        <v>12000.0</v>
      </c>
      <c r="O164" s="51">
        <v>3.0</v>
      </c>
      <c r="P164" s="53">
        <v>14518.0</v>
      </c>
      <c r="Q164" s="38">
        <v>0.0</v>
      </c>
      <c r="R164" s="38">
        <v>0.0</v>
      </c>
      <c r="S164" s="38">
        <v>0.0</v>
      </c>
      <c r="T164" s="38">
        <f t="shared" si="3"/>
        <v>14518</v>
      </c>
      <c r="U164" s="39">
        <f t="shared" si="4"/>
        <v>46248</v>
      </c>
      <c r="V164" s="40">
        <f t="shared" si="5"/>
        <v>1017711.8</v>
      </c>
      <c r="W164" s="42">
        <f t="shared" si="6"/>
        <v>2927.664082</v>
      </c>
      <c r="X164" s="69"/>
      <c r="Y164" s="69"/>
      <c r="Z164" s="69"/>
    </row>
    <row r="165" ht="15.75" hidden="1" customHeight="1">
      <c r="A165" s="44">
        <v>46244.0</v>
      </c>
      <c r="B165" s="49" t="s">
        <v>32</v>
      </c>
      <c r="C165" s="51">
        <v>788.0</v>
      </c>
      <c r="D165" s="51" t="s">
        <v>44</v>
      </c>
      <c r="E165" s="51">
        <v>788.0</v>
      </c>
      <c r="F165" s="51" t="s">
        <v>45</v>
      </c>
      <c r="G165" s="51" t="s">
        <v>46</v>
      </c>
      <c r="H165" s="45" t="s">
        <v>35</v>
      </c>
      <c r="I165" s="31">
        <f t="shared" si="1"/>
        <v>4</v>
      </c>
      <c r="J165" s="52">
        <v>68.474</v>
      </c>
      <c r="K165" s="34">
        <f t="shared" si="2"/>
        <v>68.58656</v>
      </c>
      <c r="L165" s="51">
        <v>20.0</v>
      </c>
      <c r="M165" s="51">
        <v>2500.0</v>
      </c>
      <c r="N165" s="51">
        <v>12000.0</v>
      </c>
      <c r="O165" s="51">
        <v>3.0</v>
      </c>
      <c r="P165" s="53">
        <v>14400.0</v>
      </c>
      <c r="Q165" s="38">
        <v>0.0</v>
      </c>
      <c r="R165" s="38">
        <v>0.0</v>
      </c>
      <c r="S165" s="38">
        <v>0.0</v>
      </c>
      <c r="T165" s="38">
        <f t="shared" si="3"/>
        <v>14400</v>
      </c>
      <c r="U165" s="39">
        <f t="shared" si="4"/>
        <v>46248</v>
      </c>
      <c r="V165" s="40">
        <f t="shared" si="5"/>
        <v>986025.6</v>
      </c>
      <c r="W165" s="42">
        <f t="shared" si="6"/>
        <v>1620.864</v>
      </c>
      <c r="X165" s="69"/>
      <c r="Y165" s="69"/>
      <c r="Z165" s="69"/>
    </row>
    <row r="166" ht="15.75" hidden="1" customHeight="1">
      <c r="A166" s="44">
        <v>46244.0</v>
      </c>
      <c r="B166" s="49" t="s">
        <v>32</v>
      </c>
      <c r="C166" s="51">
        <v>788.0</v>
      </c>
      <c r="D166" s="51" t="s">
        <v>44</v>
      </c>
      <c r="E166" s="51">
        <v>788.0</v>
      </c>
      <c r="F166" s="51" t="s">
        <v>45</v>
      </c>
      <c r="G166" s="51" t="s">
        <v>46</v>
      </c>
      <c r="H166" s="45" t="s">
        <v>35</v>
      </c>
      <c r="I166" s="31">
        <f t="shared" si="1"/>
        <v>4</v>
      </c>
      <c r="J166" s="52">
        <v>69.25</v>
      </c>
      <c r="K166" s="34">
        <f t="shared" si="2"/>
        <v>69.36383562</v>
      </c>
      <c r="L166" s="51">
        <v>20.0</v>
      </c>
      <c r="M166" s="51">
        <v>2500.0</v>
      </c>
      <c r="N166" s="51">
        <v>12000.0</v>
      </c>
      <c r="O166" s="51">
        <v>5.0</v>
      </c>
      <c r="P166" s="53">
        <v>24300.0</v>
      </c>
      <c r="Q166" s="38">
        <v>0.0</v>
      </c>
      <c r="R166" s="38">
        <v>0.0</v>
      </c>
      <c r="S166" s="38">
        <v>0.0</v>
      </c>
      <c r="T166" s="38">
        <f t="shared" si="3"/>
        <v>24300</v>
      </c>
      <c r="U166" s="39">
        <f t="shared" si="4"/>
        <v>46248</v>
      </c>
      <c r="V166" s="40">
        <f t="shared" si="5"/>
        <v>1682775</v>
      </c>
      <c r="W166" s="42">
        <f t="shared" si="6"/>
        <v>2766.205479</v>
      </c>
      <c r="X166" s="69"/>
      <c r="Y166" s="69"/>
      <c r="Z166" s="69"/>
    </row>
    <row r="167" ht="15.75" hidden="1" customHeight="1">
      <c r="A167" s="44">
        <v>46218.0</v>
      </c>
      <c r="B167" s="49" t="s">
        <v>32</v>
      </c>
      <c r="C167" s="51">
        <v>788.0</v>
      </c>
      <c r="D167" s="51" t="s">
        <v>159</v>
      </c>
      <c r="E167" s="51">
        <v>788.0</v>
      </c>
      <c r="F167" s="51" t="s">
        <v>123</v>
      </c>
      <c r="G167" s="51" t="s">
        <v>46</v>
      </c>
      <c r="H167" s="45" t="s">
        <v>35</v>
      </c>
      <c r="I167" s="31">
        <f t="shared" si="1"/>
        <v>30</v>
      </c>
      <c r="J167" s="52">
        <v>70.6</v>
      </c>
      <c r="K167" s="34">
        <f t="shared" si="2"/>
        <v>71.47041096</v>
      </c>
      <c r="L167" s="51">
        <v>25.0</v>
      </c>
      <c r="M167" s="51">
        <v>2500.0</v>
      </c>
      <c r="N167" s="51">
        <v>6000.0</v>
      </c>
      <c r="O167" s="51">
        <v>2.0</v>
      </c>
      <c r="P167" s="53">
        <v>6100.0</v>
      </c>
      <c r="Q167" s="38">
        <v>0.0</v>
      </c>
      <c r="R167" s="38">
        <v>0.0</v>
      </c>
      <c r="S167" s="38">
        <v>0.0</v>
      </c>
      <c r="T167" s="38">
        <f t="shared" si="3"/>
        <v>6100</v>
      </c>
      <c r="U167" s="39">
        <f t="shared" si="4"/>
        <v>46248</v>
      </c>
      <c r="V167" s="40">
        <f t="shared" si="5"/>
        <v>430660</v>
      </c>
      <c r="W167" s="42">
        <f t="shared" si="6"/>
        <v>5309.506849</v>
      </c>
      <c r="X167" s="69"/>
      <c r="Y167" s="69"/>
      <c r="Z167" s="69"/>
    </row>
    <row r="168" ht="15.75" hidden="1" customHeight="1">
      <c r="A168" s="44">
        <v>46244.0</v>
      </c>
      <c r="B168" s="49" t="s">
        <v>32</v>
      </c>
      <c r="C168" s="51">
        <v>788.0</v>
      </c>
      <c r="D168" s="51" t="s">
        <v>44</v>
      </c>
      <c r="E168" s="51">
        <v>788.0</v>
      </c>
      <c r="F168" s="51" t="s">
        <v>45</v>
      </c>
      <c r="G168" s="51" t="s">
        <v>46</v>
      </c>
      <c r="H168" s="45" t="s">
        <v>35</v>
      </c>
      <c r="I168" s="31">
        <f t="shared" si="1"/>
        <v>4</v>
      </c>
      <c r="J168" s="52">
        <v>69.25</v>
      </c>
      <c r="K168" s="34">
        <f t="shared" si="2"/>
        <v>69.36383562</v>
      </c>
      <c r="L168" s="51">
        <v>25.0</v>
      </c>
      <c r="M168" s="51">
        <v>2500.0</v>
      </c>
      <c r="N168" s="51">
        <v>12000.0</v>
      </c>
      <c r="O168" s="51">
        <v>10.0</v>
      </c>
      <c r="P168" s="53">
        <v>60530.0</v>
      </c>
      <c r="Q168" s="38">
        <v>0.0</v>
      </c>
      <c r="R168" s="38">
        <v>0.0</v>
      </c>
      <c r="S168" s="38">
        <v>0.0</v>
      </c>
      <c r="T168" s="38">
        <f t="shared" si="3"/>
        <v>60530</v>
      </c>
      <c r="U168" s="39">
        <f t="shared" si="4"/>
        <v>46248</v>
      </c>
      <c r="V168" s="40">
        <f t="shared" si="5"/>
        <v>4191702.5</v>
      </c>
      <c r="W168" s="42">
        <f t="shared" si="6"/>
        <v>6890.469863</v>
      </c>
      <c r="X168" s="69"/>
      <c r="Y168" s="69"/>
      <c r="Z168" s="69"/>
    </row>
    <row r="169" ht="15.75" hidden="1" customHeight="1">
      <c r="A169" s="44">
        <v>46244.0</v>
      </c>
      <c r="B169" s="49" t="s">
        <v>32</v>
      </c>
      <c r="C169" s="51">
        <v>788.0</v>
      </c>
      <c r="D169" s="51" t="s">
        <v>44</v>
      </c>
      <c r="E169" s="51">
        <v>788.0</v>
      </c>
      <c r="F169" s="51" t="s">
        <v>45</v>
      </c>
      <c r="G169" s="51" t="s">
        <v>46</v>
      </c>
      <c r="H169" s="45" t="s">
        <v>35</v>
      </c>
      <c r="I169" s="31">
        <f t="shared" si="1"/>
        <v>4</v>
      </c>
      <c r="J169" s="52">
        <v>69.25</v>
      </c>
      <c r="K169" s="34">
        <f t="shared" si="2"/>
        <v>69.36383562</v>
      </c>
      <c r="L169" s="51">
        <v>25.0</v>
      </c>
      <c r="M169" s="51">
        <v>2500.0</v>
      </c>
      <c r="N169" s="51">
        <v>12000.0</v>
      </c>
      <c r="O169" s="51">
        <v>18.0</v>
      </c>
      <c r="P169" s="53">
        <v>108000.0</v>
      </c>
      <c r="Q169" s="38">
        <v>0.0</v>
      </c>
      <c r="R169" s="38">
        <v>0.0</v>
      </c>
      <c r="S169" s="38">
        <v>0.0</v>
      </c>
      <c r="T169" s="38">
        <f t="shared" si="3"/>
        <v>108000</v>
      </c>
      <c r="U169" s="39">
        <f t="shared" si="4"/>
        <v>46248</v>
      </c>
      <c r="V169" s="40">
        <f t="shared" si="5"/>
        <v>7479000</v>
      </c>
      <c r="W169" s="42">
        <f t="shared" si="6"/>
        <v>12294.24658</v>
      </c>
      <c r="X169" s="69"/>
      <c r="Y169" s="69"/>
      <c r="Z169" s="69"/>
    </row>
    <row r="170" ht="15.75" hidden="1" customHeight="1">
      <c r="A170" s="44">
        <v>46236.0</v>
      </c>
      <c r="B170" s="49" t="s">
        <v>32</v>
      </c>
      <c r="C170" s="51">
        <v>788.0</v>
      </c>
      <c r="D170" s="51" t="s">
        <v>157</v>
      </c>
      <c r="E170" s="51">
        <v>788.0</v>
      </c>
      <c r="F170" s="51" t="s">
        <v>123</v>
      </c>
      <c r="G170" s="51" t="s">
        <v>46</v>
      </c>
      <c r="H170" s="45" t="s">
        <v>35</v>
      </c>
      <c r="I170" s="31">
        <f t="shared" si="1"/>
        <v>12</v>
      </c>
      <c r="J170" s="52">
        <v>70.4</v>
      </c>
      <c r="K170" s="34">
        <f t="shared" si="2"/>
        <v>70.74717808</v>
      </c>
      <c r="L170" s="51">
        <v>40.0</v>
      </c>
      <c r="M170" s="51">
        <v>2500.0</v>
      </c>
      <c r="N170" s="51">
        <v>12000.0</v>
      </c>
      <c r="O170" s="51">
        <v>1.0</v>
      </c>
      <c r="P170" s="53">
        <v>9700.0</v>
      </c>
      <c r="Q170" s="38">
        <v>0.0</v>
      </c>
      <c r="R170" s="38">
        <v>0.0</v>
      </c>
      <c r="S170" s="38">
        <v>0.0</v>
      </c>
      <c r="T170" s="38">
        <f t="shared" si="3"/>
        <v>9700</v>
      </c>
      <c r="U170" s="39">
        <f t="shared" si="4"/>
        <v>46248</v>
      </c>
      <c r="V170" s="40">
        <f t="shared" si="5"/>
        <v>682880</v>
      </c>
      <c r="W170" s="42">
        <f t="shared" si="6"/>
        <v>3367.627397</v>
      </c>
      <c r="X170" s="69"/>
      <c r="Y170" s="69"/>
      <c r="Z170" s="69"/>
    </row>
    <row r="171" ht="15.75" hidden="1" customHeight="1">
      <c r="A171" s="44">
        <v>46244.0</v>
      </c>
      <c r="B171" s="49" t="s">
        <v>32</v>
      </c>
      <c r="C171" s="51">
        <v>788.0</v>
      </c>
      <c r="D171" s="51" t="s">
        <v>44</v>
      </c>
      <c r="E171" s="51">
        <v>788.0</v>
      </c>
      <c r="F171" s="51" t="s">
        <v>45</v>
      </c>
      <c r="G171" s="51" t="s">
        <v>46</v>
      </c>
      <c r="H171" s="45" t="s">
        <v>35</v>
      </c>
      <c r="I171" s="31">
        <f t="shared" si="1"/>
        <v>4</v>
      </c>
      <c r="J171" s="52">
        <v>68.474</v>
      </c>
      <c r="K171" s="34">
        <f t="shared" si="2"/>
        <v>68.58656</v>
      </c>
      <c r="L171" s="51">
        <v>40.0</v>
      </c>
      <c r="M171" s="51">
        <v>2500.0</v>
      </c>
      <c r="N171" s="51">
        <v>12000.0</v>
      </c>
      <c r="O171" s="51">
        <v>1.0</v>
      </c>
      <c r="P171" s="53">
        <v>9800.0</v>
      </c>
      <c r="Q171" s="38">
        <v>0.0</v>
      </c>
      <c r="R171" s="38">
        <v>0.0</v>
      </c>
      <c r="S171" s="38">
        <v>0.0</v>
      </c>
      <c r="T171" s="38">
        <f t="shared" si="3"/>
        <v>9800</v>
      </c>
      <c r="U171" s="39">
        <f t="shared" si="4"/>
        <v>46248</v>
      </c>
      <c r="V171" s="40">
        <f t="shared" si="5"/>
        <v>671045.2</v>
      </c>
      <c r="W171" s="42">
        <f t="shared" si="6"/>
        <v>1103.088</v>
      </c>
      <c r="X171" s="69"/>
      <c r="Y171" s="69"/>
      <c r="Z171" s="69"/>
    </row>
    <row r="172" ht="15.75" hidden="1" customHeight="1">
      <c r="A172" s="44">
        <v>46244.0</v>
      </c>
      <c r="B172" s="49" t="s">
        <v>32</v>
      </c>
      <c r="C172" s="51">
        <v>788.0</v>
      </c>
      <c r="D172" s="51" t="s">
        <v>44</v>
      </c>
      <c r="E172" s="46">
        <v>788.0</v>
      </c>
      <c r="F172" s="51" t="s">
        <v>45</v>
      </c>
      <c r="G172" s="51" t="s">
        <v>46</v>
      </c>
      <c r="H172" s="45" t="s">
        <v>35</v>
      </c>
      <c r="I172" s="31">
        <f t="shared" si="1"/>
        <v>4</v>
      </c>
      <c r="J172" s="52">
        <v>69.25</v>
      </c>
      <c r="K172" s="34">
        <f t="shared" si="2"/>
        <v>69.36383562</v>
      </c>
      <c r="L172" s="51">
        <v>50.0</v>
      </c>
      <c r="M172" s="51">
        <v>2500.0</v>
      </c>
      <c r="N172" s="51">
        <v>12000.0</v>
      </c>
      <c r="O172" s="51">
        <v>1.5</v>
      </c>
      <c r="P172" s="53">
        <v>18000.0</v>
      </c>
      <c r="Q172" s="38">
        <v>0.0</v>
      </c>
      <c r="R172" s="38">
        <v>0.0</v>
      </c>
      <c r="S172" s="38">
        <v>0.0</v>
      </c>
      <c r="T172" s="38">
        <f t="shared" si="3"/>
        <v>18000</v>
      </c>
      <c r="U172" s="39">
        <f t="shared" si="4"/>
        <v>46248</v>
      </c>
      <c r="V172" s="40">
        <f t="shared" si="5"/>
        <v>1246500</v>
      </c>
      <c r="W172" s="42">
        <f t="shared" si="6"/>
        <v>2049.041096</v>
      </c>
      <c r="X172" s="69"/>
      <c r="Y172" s="69"/>
      <c r="Z172" s="69"/>
    </row>
    <row r="173" ht="15.75" hidden="1" customHeight="1">
      <c r="A173" s="44">
        <v>46242.0</v>
      </c>
      <c r="B173" s="49" t="s">
        <v>32</v>
      </c>
      <c r="C173" s="51" t="s">
        <v>142</v>
      </c>
      <c r="D173" s="51" t="s">
        <v>40</v>
      </c>
      <c r="E173" s="51" t="s">
        <v>142</v>
      </c>
      <c r="F173" s="51" t="s">
        <v>144</v>
      </c>
      <c r="G173" s="51" t="s">
        <v>46</v>
      </c>
      <c r="H173" s="45" t="s">
        <v>35</v>
      </c>
      <c r="I173" s="31">
        <f t="shared" si="1"/>
        <v>6</v>
      </c>
      <c r="J173" s="52">
        <v>66.2</v>
      </c>
      <c r="K173" s="34">
        <f t="shared" si="2"/>
        <v>66.36323288</v>
      </c>
      <c r="L173" s="51">
        <v>35.0</v>
      </c>
      <c r="M173" s="51">
        <v>2500.0</v>
      </c>
      <c r="N173" s="51">
        <v>12000.0</v>
      </c>
      <c r="O173" s="51">
        <v>4.0</v>
      </c>
      <c r="P173" s="53">
        <v>34480.0</v>
      </c>
      <c r="Q173" s="38">
        <v>0.0</v>
      </c>
      <c r="R173" s="38">
        <v>0.0</v>
      </c>
      <c r="S173" s="38">
        <v>0.0</v>
      </c>
      <c r="T173" s="38">
        <f t="shared" si="3"/>
        <v>34480</v>
      </c>
      <c r="U173" s="39">
        <f t="shared" si="4"/>
        <v>46248</v>
      </c>
      <c r="V173" s="40">
        <f t="shared" si="5"/>
        <v>2282576</v>
      </c>
      <c r="W173" s="42">
        <f t="shared" si="6"/>
        <v>5628.269589</v>
      </c>
      <c r="X173" s="69"/>
      <c r="Y173" s="69"/>
      <c r="Z173" s="69"/>
    </row>
    <row r="174" ht="15.75" hidden="1" customHeight="1">
      <c r="A174" s="44">
        <v>46240.0</v>
      </c>
      <c r="B174" s="49" t="s">
        <v>32</v>
      </c>
      <c r="C174" s="51" t="s">
        <v>142</v>
      </c>
      <c r="D174" s="51" t="s">
        <v>40</v>
      </c>
      <c r="E174" s="51" t="s">
        <v>142</v>
      </c>
      <c r="F174" s="51" t="s">
        <v>144</v>
      </c>
      <c r="G174" s="51" t="s">
        <v>46</v>
      </c>
      <c r="H174" s="45" t="s">
        <v>35</v>
      </c>
      <c r="I174" s="31">
        <f t="shared" si="1"/>
        <v>8</v>
      </c>
      <c r="J174" s="52">
        <v>66.2</v>
      </c>
      <c r="K174" s="34">
        <f t="shared" si="2"/>
        <v>66.41764384</v>
      </c>
      <c r="L174" s="51">
        <v>30.0</v>
      </c>
      <c r="M174" s="51">
        <v>2500.0</v>
      </c>
      <c r="N174" s="51">
        <v>12000.0</v>
      </c>
      <c r="O174" s="51">
        <v>6.0</v>
      </c>
      <c r="P174" s="53">
        <v>44370.0</v>
      </c>
      <c r="Q174" s="38">
        <v>0.0</v>
      </c>
      <c r="R174" s="38">
        <v>0.0</v>
      </c>
      <c r="S174" s="38">
        <v>0.0</v>
      </c>
      <c r="T174" s="38">
        <f t="shared" si="3"/>
        <v>44370</v>
      </c>
      <c r="U174" s="39">
        <f t="shared" si="4"/>
        <v>46248</v>
      </c>
      <c r="V174" s="40">
        <f t="shared" si="5"/>
        <v>2937294</v>
      </c>
      <c r="W174" s="42">
        <f t="shared" si="6"/>
        <v>9656.856986</v>
      </c>
      <c r="X174" s="69"/>
      <c r="Y174" s="69"/>
      <c r="Z174" s="69"/>
    </row>
    <row r="175" ht="15.75" hidden="1" customHeight="1">
      <c r="A175" s="44">
        <v>46242.0</v>
      </c>
      <c r="B175" s="49" t="s">
        <v>32</v>
      </c>
      <c r="C175" s="51" t="s">
        <v>142</v>
      </c>
      <c r="D175" s="51" t="s">
        <v>40</v>
      </c>
      <c r="E175" s="51" t="s">
        <v>142</v>
      </c>
      <c r="F175" s="51" t="s">
        <v>144</v>
      </c>
      <c r="G175" s="51" t="s">
        <v>46</v>
      </c>
      <c r="H175" s="45" t="s">
        <v>35</v>
      </c>
      <c r="I175" s="31">
        <f t="shared" si="1"/>
        <v>6</v>
      </c>
      <c r="J175" s="52">
        <v>66.2</v>
      </c>
      <c r="K175" s="34">
        <f t="shared" si="2"/>
        <v>66.36323288</v>
      </c>
      <c r="L175" s="51">
        <v>25.0</v>
      </c>
      <c r="M175" s="51">
        <v>2500.0</v>
      </c>
      <c r="N175" s="51">
        <v>12000.0</v>
      </c>
      <c r="O175" s="51">
        <v>23.0</v>
      </c>
      <c r="P175" s="53">
        <v>141379.0</v>
      </c>
      <c r="Q175" s="38">
        <v>0.0</v>
      </c>
      <c r="R175" s="38">
        <v>0.0</v>
      </c>
      <c r="S175" s="38">
        <v>0.0</v>
      </c>
      <c r="T175" s="38">
        <f t="shared" si="3"/>
        <v>141379</v>
      </c>
      <c r="U175" s="39">
        <f t="shared" si="4"/>
        <v>46248</v>
      </c>
      <c r="V175" s="40">
        <f t="shared" si="5"/>
        <v>9359289.8</v>
      </c>
      <c r="W175" s="42">
        <f t="shared" si="6"/>
        <v>23077.70088</v>
      </c>
      <c r="X175" s="69"/>
      <c r="Y175" s="69"/>
      <c r="Z175" s="69"/>
    </row>
    <row r="176" ht="15.75" hidden="1" customHeight="1">
      <c r="A176" s="44">
        <v>46243.0</v>
      </c>
      <c r="B176" s="49" t="s">
        <v>32</v>
      </c>
      <c r="C176" s="51" t="s">
        <v>142</v>
      </c>
      <c r="D176" s="51" t="s">
        <v>40</v>
      </c>
      <c r="E176" s="51" t="s">
        <v>142</v>
      </c>
      <c r="F176" s="51" t="s">
        <v>144</v>
      </c>
      <c r="G176" s="51" t="s">
        <v>46</v>
      </c>
      <c r="H176" s="45" t="s">
        <v>35</v>
      </c>
      <c r="I176" s="31">
        <f t="shared" si="1"/>
        <v>5</v>
      </c>
      <c r="J176" s="52">
        <v>66.2</v>
      </c>
      <c r="K176" s="34">
        <f t="shared" si="2"/>
        <v>66.3360274</v>
      </c>
      <c r="L176" s="51">
        <v>25.0</v>
      </c>
      <c r="M176" s="51">
        <v>2500.0</v>
      </c>
      <c r="N176" s="51">
        <v>12000.0</v>
      </c>
      <c r="O176" s="51">
        <v>4.0</v>
      </c>
      <c r="P176" s="53">
        <v>21680.0</v>
      </c>
      <c r="Q176" s="38">
        <v>0.0</v>
      </c>
      <c r="R176" s="38">
        <v>0.0</v>
      </c>
      <c r="S176" s="38">
        <v>0.0</v>
      </c>
      <c r="T176" s="38">
        <f t="shared" si="3"/>
        <v>21680</v>
      </c>
      <c r="U176" s="39">
        <f t="shared" si="4"/>
        <v>46248</v>
      </c>
      <c r="V176" s="40">
        <f t="shared" si="5"/>
        <v>1435216</v>
      </c>
      <c r="W176" s="42">
        <f t="shared" si="6"/>
        <v>2949.073973</v>
      </c>
      <c r="X176" s="69"/>
      <c r="Y176" s="69"/>
      <c r="Z176" s="69"/>
    </row>
    <row r="177" ht="15.75" hidden="1" customHeight="1">
      <c r="A177" s="44">
        <v>46243.0</v>
      </c>
      <c r="B177" s="49" t="s">
        <v>32</v>
      </c>
      <c r="C177" s="51" t="s">
        <v>142</v>
      </c>
      <c r="D177" s="51" t="s">
        <v>40</v>
      </c>
      <c r="E177" s="51" t="s">
        <v>142</v>
      </c>
      <c r="F177" s="51" t="s">
        <v>144</v>
      </c>
      <c r="G177" s="51" t="s">
        <v>46</v>
      </c>
      <c r="H177" s="45" t="s">
        <v>35</v>
      </c>
      <c r="I177" s="31">
        <f t="shared" si="1"/>
        <v>5</v>
      </c>
      <c r="J177" s="52">
        <v>66.2</v>
      </c>
      <c r="K177" s="34">
        <f t="shared" si="2"/>
        <v>66.3360274</v>
      </c>
      <c r="L177" s="51">
        <v>20.0</v>
      </c>
      <c r="M177" s="51">
        <v>2500.0</v>
      </c>
      <c r="N177" s="51">
        <v>12000.0</v>
      </c>
      <c r="O177" s="51">
        <v>14.0</v>
      </c>
      <c r="P177" s="53">
        <v>69098.0</v>
      </c>
      <c r="Q177" s="38">
        <v>0.0</v>
      </c>
      <c r="R177" s="38">
        <v>0.0</v>
      </c>
      <c r="S177" s="38">
        <v>0.0</v>
      </c>
      <c r="T177" s="38">
        <f t="shared" si="3"/>
        <v>69098</v>
      </c>
      <c r="U177" s="39">
        <f t="shared" si="4"/>
        <v>46248</v>
      </c>
      <c r="V177" s="40">
        <f t="shared" si="5"/>
        <v>4574287.6</v>
      </c>
      <c r="W177" s="42">
        <f t="shared" si="6"/>
        <v>9399.221096</v>
      </c>
      <c r="X177" s="69"/>
      <c r="Y177" s="69"/>
      <c r="Z177" s="69"/>
    </row>
    <row r="178" ht="15.75" hidden="1" customHeight="1">
      <c r="A178" s="44">
        <v>46242.0</v>
      </c>
      <c r="B178" s="49" t="s">
        <v>32</v>
      </c>
      <c r="C178" s="51" t="s">
        <v>142</v>
      </c>
      <c r="D178" s="51" t="s">
        <v>40</v>
      </c>
      <c r="E178" s="51" t="s">
        <v>142</v>
      </c>
      <c r="F178" s="51" t="s">
        <v>123</v>
      </c>
      <c r="G178" s="51" t="s">
        <v>46</v>
      </c>
      <c r="H178" s="45" t="s">
        <v>35</v>
      </c>
      <c r="I178" s="31">
        <f t="shared" si="1"/>
        <v>6</v>
      </c>
      <c r="J178" s="52">
        <v>66.7</v>
      </c>
      <c r="K178" s="34">
        <f t="shared" si="2"/>
        <v>66.86446575</v>
      </c>
      <c r="L178" s="51">
        <v>16.0</v>
      </c>
      <c r="M178" s="51">
        <v>2500.0</v>
      </c>
      <c r="N178" s="51">
        <v>12000.0</v>
      </c>
      <c r="O178" s="51">
        <v>2.0</v>
      </c>
      <c r="P178" s="53">
        <v>7918.0</v>
      </c>
      <c r="Q178" s="38">
        <v>0.0</v>
      </c>
      <c r="R178" s="38">
        <v>0.0</v>
      </c>
      <c r="S178" s="38">
        <v>0.0</v>
      </c>
      <c r="T178" s="38">
        <f t="shared" si="3"/>
        <v>7918</v>
      </c>
      <c r="U178" s="39">
        <f t="shared" si="4"/>
        <v>46248</v>
      </c>
      <c r="V178" s="40">
        <f t="shared" si="5"/>
        <v>528130.6</v>
      </c>
      <c r="W178" s="42">
        <f t="shared" si="6"/>
        <v>1302.239836</v>
      </c>
      <c r="X178" s="69"/>
      <c r="Y178" s="69"/>
      <c r="Z178" s="69"/>
    </row>
    <row r="179" ht="15.75" hidden="1" customHeight="1">
      <c r="A179" s="44">
        <v>46242.0</v>
      </c>
      <c r="B179" s="49" t="s">
        <v>32</v>
      </c>
      <c r="C179" s="51" t="s">
        <v>142</v>
      </c>
      <c r="D179" s="51" t="s">
        <v>40</v>
      </c>
      <c r="E179" s="51" t="s">
        <v>142</v>
      </c>
      <c r="F179" s="51" t="s">
        <v>144</v>
      </c>
      <c r="G179" s="51" t="s">
        <v>46</v>
      </c>
      <c r="H179" s="49" t="s">
        <v>35</v>
      </c>
      <c r="I179" s="31">
        <f t="shared" si="1"/>
        <v>6</v>
      </c>
      <c r="J179" s="52">
        <v>66.7</v>
      </c>
      <c r="K179" s="34">
        <f t="shared" si="2"/>
        <v>66.86446575</v>
      </c>
      <c r="L179" s="51">
        <v>12.0</v>
      </c>
      <c r="M179" s="51">
        <v>2500.0</v>
      </c>
      <c r="N179" s="51">
        <v>12000.0</v>
      </c>
      <c r="O179" s="51">
        <v>10.0</v>
      </c>
      <c r="P179" s="53">
        <v>29589.0</v>
      </c>
      <c r="Q179" s="38">
        <v>0.0</v>
      </c>
      <c r="R179" s="38">
        <v>0.0</v>
      </c>
      <c r="S179" s="38">
        <v>0.0</v>
      </c>
      <c r="T179" s="38">
        <f t="shared" si="3"/>
        <v>29589</v>
      </c>
      <c r="U179" s="39">
        <f t="shared" si="4"/>
        <v>46248</v>
      </c>
      <c r="V179" s="40">
        <f t="shared" si="5"/>
        <v>1973586.3</v>
      </c>
      <c r="W179" s="42">
        <f t="shared" si="6"/>
        <v>4866.377178</v>
      </c>
      <c r="X179" s="69"/>
      <c r="Y179" s="69"/>
      <c r="Z179" s="69"/>
    </row>
    <row r="180" ht="15.75" hidden="1" customHeight="1">
      <c r="A180" s="44">
        <v>46242.0</v>
      </c>
      <c r="B180" s="49" t="s">
        <v>32</v>
      </c>
      <c r="C180" s="51" t="s">
        <v>142</v>
      </c>
      <c r="D180" s="51" t="s">
        <v>40</v>
      </c>
      <c r="E180" s="51" t="s">
        <v>142</v>
      </c>
      <c r="F180" s="51" t="s">
        <v>144</v>
      </c>
      <c r="G180" s="51" t="s">
        <v>46</v>
      </c>
      <c r="H180" s="45" t="s">
        <v>35</v>
      </c>
      <c r="I180" s="31">
        <f t="shared" si="1"/>
        <v>6</v>
      </c>
      <c r="J180" s="52">
        <v>63.6</v>
      </c>
      <c r="K180" s="34">
        <f t="shared" si="2"/>
        <v>63.75682192</v>
      </c>
      <c r="L180" s="51">
        <v>15.0</v>
      </c>
      <c r="M180" s="51">
        <v>2500.0</v>
      </c>
      <c r="N180" s="51">
        <v>12000.0</v>
      </c>
      <c r="O180" s="51">
        <v>5.0</v>
      </c>
      <c r="P180" s="53">
        <v>18654.0</v>
      </c>
      <c r="Q180" s="38">
        <v>0.0</v>
      </c>
      <c r="R180" s="38">
        <v>0.0</v>
      </c>
      <c r="S180" s="38">
        <v>0.0</v>
      </c>
      <c r="T180" s="38">
        <f t="shared" si="3"/>
        <v>18654</v>
      </c>
      <c r="U180" s="39">
        <f t="shared" si="4"/>
        <v>46248</v>
      </c>
      <c r="V180" s="40">
        <f t="shared" si="5"/>
        <v>1186394.4</v>
      </c>
      <c r="W180" s="42">
        <f t="shared" si="6"/>
        <v>2925.356055</v>
      </c>
      <c r="X180" s="69"/>
      <c r="Y180" s="69"/>
      <c r="Z180" s="69"/>
    </row>
    <row r="181" ht="15.75" hidden="1" customHeight="1">
      <c r="A181" s="44">
        <v>46242.0</v>
      </c>
      <c r="B181" s="49" t="s">
        <v>32</v>
      </c>
      <c r="C181" s="51" t="s">
        <v>142</v>
      </c>
      <c r="D181" s="51" t="s">
        <v>40</v>
      </c>
      <c r="E181" s="51" t="s">
        <v>142</v>
      </c>
      <c r="F181" s="51" t="s">
        <v>144</v>
      </c>
      <c r="G181" s="51" t="s">
        <v>46</v>
      </c>
      <c r="H181" s="45" t="s">
        <v>35</v>
      </c>
      <c r="I181" s="31">
        <f t="shared" si="1"/>
        <v>6</v>
      </c>
      <c r="J181" s="52">
        <v>66.7</v>
      </c>
      <c r="K181" s="34">
        <f t="shared" si="2"/>
        <v>66.86446575</v>
      </c>
      <c r="L181" s="51">
        <v>14.0</v>
      </c>
      <c r="M181" s="51">
        <v>2500.0</v>
      </c>
      <c r="N181" s="51">
        <v>12000.0</v>
      </c>
      <c r="O181" s="51">
        <v>6.0</v>
      </c>
      <c r="P181" s="53">
        <v>21024.0</v>
      </c>
      <c r="Q181" s="38">
        <v>0.0</v>
      </c>
      <c r="R181" s="38">
        <v>0.0</v>
      </c>
      <c r="S181" s="38">
        <v>0.0</v>
      </c>
      <c r="T181" s="38">
        <f t="shared" si="3"/>
        <v>21024</v>
      </c>
      <c r="U181" s="39">
        <f t="shared" si="4"/>
        <v>46248</v>
      </c>
      <c r="V181" s="40">
        <f t="shared" si="5"/>
        <v>1402300.8</v>
      </c>
      <c r="W181" s="42">
        <f t="shared" si="6"/>
        <v>3457.728</v>
      </c>
      <c r="X181" s="69"/>
      <c r="Y181" s="69"/>
      <c r="Z181" s="69"/>
    </row>
    <row r="182" ht="15.75" customHeight="1">
      <c r="A182" s="44">
        <v>46239.0</v>
      </c>
      <c r="B182" s="49" t="s">
        <v>32</v>
      </c>
      <c r="C182" s="46" t="s">
        <v>75</v>
      </c>
      <c r="D182" s="46" t="s">
        <v>40</v>
      </c>
      <c r="E182" s="46" t="s">
        <v>75</v>
      </c>
      <c r="F182" s="46" t="s">
        <v>40</v>
      </c>
      <c r="G182" s="46" t="s">
        <v>154</v>
      </c>
      <c r="H182" s="45" t="s">
        <v>35</v>
      </c>
      <c r="I182" s="31">
        <f t="shared" si="1"/>
        <v>9</v>
      </c>
      <c r="J182" s="52">
        <v>70.9</v>
      </c>
      <c r="K182" s="34">
        <f t="shared" si="2"/>
        <v>71.16223288</v>
      </c>
      <c r="L182" s="46">
        <v>65.0</v>
      </c>
      <c r="M182" s="46">
        <v>2500.0</v>
      </c>
      <c r="N182" s="46">
        <v>6650.0</v>
      </c>
      <c r="O182" s="46">
        <v>1.0</v>
      </c>
      <c r="P182" s="36">
        <v>8570.0</v>
      </c>
      <c r="Q182" s="38">
        <v>0.0</v>
      </c>
      <c r="R182" s="38">
        <v>0.0</v>
      </c>
      <c r="S182" s="38">
        <v>0.0</v>
      </c>
      <c r="T182" s="38">
        <f t="shared" si="3"/>
        <v>8570</v>
      </c>
      <c r="U182" s="39">
        <f t="shared" si="4"/>
        <v>46248</v>
      </c>
      <c r="V182" s="40">
        <f t="shared" si="5"/>
        <v>607613</v>
      </c>
      <c r="W182" s="42">
        <f t="shared" si="6"/>
        <v>2247.335753</v>
      </c>
      <c r="X182" s="69"/>
      <c r="Y182" s="69"/>
      <c r="Z182" s="69"/>
    </row>
    <row r="183" ht="15.75" hidden="1" customHeight="1">
      <c r="A183" s="44">
        <v>46241.0</v>
      </c>
      <c r="B183" s="49" t="s">
        <v>32</v>
      </c>
      <c r="C183" s="46" t="s">
        <v>75</v>
      </c>
      <c r="D183" s="46" t="s">
        <v>40</v>
      </c>
      <c r="E183" s="46" t="s">
        <v>75</v>
      </c>
      <c r="F183" s="46" t="s">
        <v>40</v>
      </c>
      <c r="G183" s="46" t="s">
        <v>129</v>
      </c>
      <c r="H183" s="45" t="s">
        <v>35</v>
      </c>
      <c r="I183" s="31">
        <f t="shared" si="1"/>
        <v>7</v>
      </c>
      <c r="J183" s="52">
        <v>77.0</v>
      </c>
      <c r="K183" s="34">
        <f t="shared" si="2"/>
        <v>77.22150685</v>
      </c>
      <c r="L183" s="46">
        <v>56.0</v>
      </c>
      <c r="M183" s="46">
        <v>2500.0</v>
      </c>
      <c r="N183" s="46">
        <v>3000.0</v>
      </c>
      <c r="O183" s="46">
        <v>1.0</v>
      </c>
      <c r="P183" s="36">
        <v>3400.0</v>
      </c>
      <c r="Q183" s="38">
        <v>0.0</v>
      </c>
      <c r="R183" s="38">
        <v>0.0</v>
      </c>
      <c r="S183" s="38">
        <v>0.0</v>
      </c>
      <c r="T183" s="38">
        <f t="shared" si="3"/>
        <v>3400</v>
      </c>
      <c r="U183" s="39">
        <f t="shared" si="4"/>
        <v>46248</v>
      </c>
      <c r="V183" s="40">
        <f t="shared" si="5"/>
        <v>261800</v>
      </c>
      <c r="W183" s="42">
        <f t="shared" si="6"/>
        <v>753.1232877</v>
      </c>
      <c r="X183" s="69"/>
      <c r="Y183" s="69"/>
      <c r="Z183" s="69"/>
    </row>
    <row r="184" ht="15.75" customHeight="1">
      <c r="A184" s="44">
        <v>46227.0</v>
      </c>
      <c r="B184" s="49" t="s">
        <v>32</v>
      </c>
      <c r="C184" s="51">
        <v>788.0</v>
      </c>
      <c r="D184" s="51" t="s">
        <v>127</v>
      </c>
      <c r="E184" s="51">
        <v>788.0</v>
      </c>
      <c r="F184" s="51" t="s">
        <v>40</v>
      </c>
      <c r="G184" s="51" t="s">
        <v>160</v>
      </c>
      <c r="H184" s="45" t="s">
        <v>35</v>
      </c>
      <c r="I184" s="31">
        <f t="shared" si="1"/>
        <v>21</v>
      </c>
      <c r="J184" s="52">
        <v>71.6</v>
      </c>
      <c r="K184" s="34">
        <f t="shared" si="2"/>
        <v>72.21791781</v>
      </c>
      <c r="L184" s="51">
        <v>8.0</v>
      </c>
      <c r="M184" s="51">
        <v>1250.0</v>
      </c>
      <c r="N184" s="51">
        <v>5800.0</v>
      </c>
      <c r="O184" s="51">
        <v>12.0</v>
      </c>
      <c r="P184" s="53">
        <v>5550.0</v>
      </c>
      <c r="Q184" s="38">
        <v>0.0</v>
      </c>
      <c r="R184" s="38">
        <v>0.0</v>
      </c>
      <c r="S184" s="38">
        <v>0.0</v>
      </c>
      <c r="T184" s="38">
        <f t="shared" si="3"/>
        <v>5550</v>
      </c>
      <c r="U184" s="39">
        <f t="shared" si="4"/>
        <v>46248</v>
      </c>
      <c r="V184" s="40">
        <f t="shared" si="5"/>
        <v>397380</v>
      </c>
      <c r="W184" s="42">
        <f t="shared" si="6"/>
        <v>3429.443836</v>
      </c>
      <c r="X184" s="69"/>
      <c r="Y184" s="69"/>
      <c r="Z184" s="69"/>
    </row>
    <row r="185" ht="15.75" customHeight="1">
      <c r="A185" s="44">
        <v>46228.0</v>
      </c>
      <c r="B185" s="49" t="s">
        <v>32</v>
      </c>
      <c r="C185" s="51" t="s">
        <v>142</v>
      </c>
      <c r="D185" s="51" t="s">
        <v>40</v>
      </c>
      <c r="E185" s="51" t="s">
        <v>142</v>
      </c>
      <c r="F185" s="51" t="s">
        <v>35</v>
      </c>
      <c r="G185" s="51" t="s">
        <v>124</v>
      </c>
      <c r="H185" s="45" t="s">
        <v>76</v>
      </c>
      <c r="I185" s="31">
        <f t="shared" si="1"/>
        <v>20</v>
      </c>
      <c r="J185" s="52">
        <v>61.0</v>
      </c>
      <c r="K185" s="34">
        <f t="shared" si="2"/>
        <v>61.50136986</v>
      </c>
      <c r="L185" s="51">
        <v>10.0</v>
      </c>
      <c r="M185" s="51">
        <v>2500.0</v>
      </c>
      <c r="N185" s="51">
        <v>12000.0</v>
      </c>
      <c r="O185" s="51">
        <v>7.0</v>
      </c>
      <c r="P185" s="53">
        <v>16549.0</v>
      </c>
      <c r="Q185" s="38">
        <v>0.0</v>
      </c>
      <c r="R185" s="38">
        <v>0.0</v>
      </c>
      <c r="S185" s="38">
        <v>0.0</v>
      </c>
      <c r="T185" s="38">
        <f t="shared" si="3"/>
        <v>16549</v>
      </c>
      <c r="U185" s="39">
        <f t="shared" si="4"/>
        <v>46248</v>
      </c>
      <c r="V185" s="40">
        <f t="shared" si="5"/>
        <v>1009489</v>
      </c>
      <c r="W185" s="42">
        <f t="shared" si="6"/>
        <v>8297.169863</v>
      </c>
      <c r="X185" s="69"/>
      <c r="Y185" s="69"/>
      <c r="Z185" s="69"/>
    </row>
    <row r="186" ht="15.75" hidden="1" customHeight="1">
      <c r="A186" s="44">
        <v>46113.0</v>
      </c>
      <c r="B186" s="49" t="s">
        <v>32</v>
      </c>
      <c r="C186" s="51">
        <v>788.0</v>
      </c>
      <c r="D186" s="51" t="s">
        <v>132</v>
      </c>
      <c r="E186" s="46">
        <v>788.0</v>
      </c>
      <c r="F186" s="51" t="s">
        <v>110</v>
      </c>
      <c r="G186" s="51" t="s">
        <v>46</v>
      </c>
      <c r="H186" s="49" t="s">
        <v>35</v>
      </c>
      <c r="I186" s="31">
        <f t="shared" si="1"/>
        <v>135</v>
      </c>
      <c r="J186" s="52">
        <v>61.2</v>
      </c>
      <c r="K186" s="34">
        <f t="shared" si="2"/>
        <v>64.59534247</v>
      </c>
      <c r="L186" s="51">
        <v>8.0</v>
      </c>
      <c r="M186" s="51">
        <v>2000.0</v>
      </c>
      <c r="N186" s="66" t="s">
        <v>89</v>
      </c>
      <c r="O186" s="66">
        <v>1.0</v>
      </c>
      <c r="P186" s="67">
        <v>434.0</v>
      </c>
      <c r="Q186" s="38">
        <v>0.0</v>
      </c>
      <c r="R186" s="38">
        <v>0.0</v>
      </c>
      <c r="S186" s="38">
        <v>0.0</v>
      </c>
      <c r="T186" s="38">
        <f t="shared" si="3"/>
        <v>434</v>
      </c>
      <c r="U186" s="39">
        <f t="shared" si="4"/>
        <v>46248</v>
      </c>
      <c r="V186" s="40">
        <f t="shared" si="5"/>
        <v>26560.8</v>
      </c>
      <c r="W186" s="42">
        <f t="shared" si="6"/>
        <v>1473.57863</v>
      </c>
      <c r="X186" s="69"/>
      <c r="Y186" s="69"/>
      <c r="Z186" s="69"/>
    </row>
    <row r="187" ht="15.75" hidden="1" customHeight="1">
      <c r="A187" s="44">
        <v>46202.0</v>
      </c>
      <c r="B187" s="49" t="s">
        <v>32</v>
      </c>
      <c r="C187" s="51">
        <v>788.0</v>
      </c>
      <c r="D187" s="51" t="s">
        <v>161</v>
      </c>
      <c r="E187" s="46">
        <v>788.0</v>
      </c>
      <c r="F187" s="51" t="s">
        <v>60</v>
      </c>
      <c r="G187" s="51" t="s">
        <v>46</v>
      </c>
      <c r="H187" s="49" t="s">
        <v>35</v>
      </c>
      <c r="I187" s="31">
        <f t="shared" si="1"/>
        <v>46</v>
      </c>
      <c r="J187" s="52">
        <v>58.65</v>
      </c>
      <c r="K187" s="34">
        <f t="shared" si="2"/>
        <v>59.75872603</v>
      </c>
      <c r="L187" s="51">
        <v>5.0</v>
      </c>
      <c r="M187" s="51">
        <v>1500.0</v>
      </c>
      <c r="N187" s="66">
        <v>3000.0</v>
      </c>
      <c r="O187" s="66">
        <v>3.0</v>
      </c>
      <c r="P187" s="67">
        <v>470.0</v>
      </c>
      <c r="Q187" s="38">
        <v>0.0</v>
      </c>
      <c r="R187" s="38">
        <v>0.0</v>
      </c>
      <c r="S187" s="38">
        <v>0.0</v>
      </c>
      <c r="T187" s="38">
        <f t="shared" si="3"/>
        <v>470</v>
      </c>
      <c r="U187" s="39">
        <f t="shared" si="4"/>
        <v>46248</v>
      </c>
      <c r="V187" s="40">
        <f t="shared" si="5"/>
        <v>27565.5</v>
      </c>
      <c r="W187" s="42">
        <f t="shared" si="6"/>
        <v>521.1012329</v>
      </c>
      <c r="X187" s="69"/>
      <c r="Y187" s="69"/>
      <c r="Z187" s="69"/>
    </row>
    <row r="188" ht="15.75" hidden="1" customHeight="1">
      <c r="A188" s="44">
        <v>46113.0</v>
      </c>
      <c r="B188" s="49" t="s">
        <v>32</v>
      </c>
      <c r="C188" s="51">
        <v>788.0</v>
      </c>
      <c r="D188" s="51" t="s">
        <v>162</v>
      </c>
      <c r="E188" s="46">
        <v>788.0</v>
      </c>
      <c r="F188" s="51" t="s">
        <v>35</v>
      </c>
      <c r="G188" s="51" t="s">
        <v>46</v>
      </c>
      <c r="H188" s="49" t="s">
        <v>35</v>
      </c>
      <c r="I188" s="31">
        <f t="shared" si="1"/>
        <v>135</v>
      </c>
      <c r="J188" s="52">
        <v>61.2</v>
      </c>
      <c r="K188" s="34">
        <f t="shared" si="2"/>
        <v>64.59534247</v>
      </c>
      <c r="L188" s="51">
        <v>5.0</v>
      </c>
      <c r="M188" s="51">
        <v>1500.0</v>
      </c>
      <c r="N188" s="66">
        <v>6300.0</v>
      </c>
      <c r="O188" s="66">
        <v>1.0</v>
      </c>
      <c r="P188" s="67">
        <v>370.0</v>
      </c>
      <c r="Q188" s="38">
        <v>0.0</v>
      </c>
      <c r="R188" s="38">
        <v>0.0</v>
      </c>
      <c r="S188" s="38">
        <v>0.0</v>
      </c>
      <c r="T188" s="38">
        <f t="shared" si="3"/>
        <v>370</v>
      </c>
      <c r="U188" s="39">
        <f t="shared" si="4"/>
        <v>46248</v>
      </c>
      <c r="V188" s="40">
        <f t="shared" si="5"/>
        <v>22644</v>
      </c>
      <c r="W188" s="42">
        <f t="shared" si="6"/>
        <v>1256.276712</v>
      </c>
      <c r="X188" s="69"/>
      <c r="Y188" s="69"/>
      <c r="Z188" s="69"/>
    </row>
    <row r="189" ht="15.75" hidden="1" customHeight="1">
      <c r="A189" s="44">
        <v>46113.0</v>
      </c>
      <c r="B189" s="49" t="s">
        <v>32</v>
      </c>
      <c r="C189" s="51">
        <v>788.0</v>
      </c>
      <c r="D189" s="51" t="s">
        <v>162</v>
      </c>
      <c r="E189" s="46">
        <v>788.0</v>
      </c>
      <c r="F189" s="51" t="s">
        <v>35</v>
      </c>
      <c r="G189" s="51" t="s">
        <v>46</v>
      </c>
      <c r="H189" s="49" t="s">
        <v>35</v>
      </c>
      <c r="I189" s="31">
        <f t="shared" si="1"/>
        <v>135</v>
      </c>
      <c r="J189" s="52">
        <v>61.2</v>
      </c>
      <c r="K189" s="34">
        <f t="shared" si="2"/>
        <v>64.59534247</v>
      </c>
      <c r="L189" s="51">
        <v>5.0</v>
      </c>
      <c r="M189" s="51">
        <v>1500.0</v>
      </c>
      <c r="N189" s="66">
        <v>800.0</v>
      </c>
      <c r="O189" s="66">
        <v>1.0</v>
      </c>
      <c r="P189" s="67">
        <v>50.0</v>
      </c>
      <c r="Q189" s="38">
        <v>0.0</v>
      </c>
      <c r="R189" s="38">
        <v>0.0</v>
      </c>
      <c r="S189" s="38">
        <v>0.0</v>
      </c>
      <c r="T189" s="38">
        <f t="shared" si="3"/>
        <v>50</v>
      </c>
      <c r="U189" s="39">
        <f t="shared" si="4"/>
        <v>46248</v>
      </c>
      <c r="V189" s="40">
        <f t="shared" si="5"/>
        <v>3060</v>
      </c>
      <c r="W189" s="42">
        <f t="shared" si="6"/>
        <v>169.7671233</v>
      </c>
      <c r="X189" s="69"/>
      <c r="Y189" s="69"/>
      <c r="Z189" s="69"/>
    </row>
    <row r="190" ht="15.75" hidden="1" customHeight="1">
      <c r="A190" s="44">
        <v>46198.0</v>
      </c>
      <c r="B190" s="49" t="s">
        <v>32</v>
      </c>
      <c r="C190" s="51">
        <v>788.0</v>
      </c>
      <c r="D190" s="51" t="s">
        <v>145</v>
      </c>
      <c r="E190" s="46">
        <v>788.0</v>
      </c>
      <c r="F190" s="51" t="s">
        <v>35</v>
      </c>
      <c r="G190" s="51" t="s">
        <v>46</v>
      </c>
      <c r="H190" s="49" t="s">
        <v>35</v>
      </c>
      <c r="I190" s="31">
        <f t="shared" si="1"/>
        <v>50</v>
      </c>
      <c r="J190" s="52">
        <v>64.35</v>
      </c>
      <c r="K190" s="34">
        <f t="shared" si="2"/>
        <v>65.67226027</v>
      </c>
      <c r="L190" s="51">
        <v>6.0</v>
      </c>
      <c r="M190" s="51">
        <v>1500.0</v>
      </c>
      <c r="N190" s="66">
        <v>3000.0</v>
      </c>
      <c r="O190" s="66">
        <v>1.0</v>
      </c>
      <c r="P190" s="67">
        <v>190.0</v>
      </c>
      <c r="Q190" s="38">
        <v>0.0</v>
      </c>
      <c r="R190" s="38">
        <v>0.0</v>
      </c>
      <c r="S190" s="38">
        <v>0.0</v>
      </c>
      <c r="T190" s="38">
        <f t="shared" si="3"/>
        <v>190</v>
      </c>
      <c r="U190" s="39">
        <f t="shared" si="4"/>
        <v>46248</v>
      </c>
      <c r="V190" s="40">
        <f t="shared" si="5"/>
        <v>12226.5</v>
      </c>
      <c r="W190" s="42">
        <f t="shared" si="6"/>
        <v>251.2294521</v>
      </c>
      <c r="X190" s="69"/>
      <c r="Y190" s="69"/>
      <c r="Z190" s="69"/>
    </row>
    <row r="191" ht="15.75" hidden="1" customHeight="1">
      <c r="A191" s="44">
        <v>46216.0</v>
      </c>
      <c r="B191" s="49" t="s">
        <v>32</v>
      </c>
      <c r="C191" s="51">
        <v>788.0</v>
      </c>
      <c r="D191" s="51" t="s">
        <v>93</v>
      </c>
      <c r="E191" s="46">
        <v>788.0</v>
      </c>
      <c r="F191" s="51" t="s">
        <v>35</v>
      </c>
      <c r="G191" s="51" t="s">
        <v>46</v>
      </c>
      <c r="H191" s="49" t="s">
        <v>35</v>
      </c>
      <c r="I191" s="31">
        <f t="shared" si="1"/>
        <v>32</v>
      </c>
      <c r="J191" s="52">
        <v>63.2</v>
      </c>
      <c r="K191" s="34">
        <f t="shared" si="2"/>
        <v>64.03112329</v>
      </c>
      <c r="L191" s="51">
        <v>11.99</v>
      </c>
      <c r="M191" s="51">
        <v>1500.0</v>
      </c>
      <c r="N191" s="66">
        <v>2500.0</v>
      </c>
      <c r="O191" s="66">
        <v>1.0</v>
      </c>
      <c r="P191" s="67">
        <v>360.0</v>
      </c>
      <c r="Q191" s="38">
        <v>0.0</v>
      </c>
      <c r="R191" s="38">
        <v>0.0</v>
      </c>
      <c r="S191" s="38">
        <v>0.0</v>
      </c>
      <c r="T191" s="38">
        <f t="shared" si="3"/>
        <v>360</v>
      </c>
      <c r="U191" s="39">
        <f t="shared" si="4"/>
        <v>46248</v>
      </c>
      <c r="V191" s="40">
        <f t="shared" si="5"/>
        <v>22752</v>
      </c>
      <c r="W191" s="42">
        <f t="shared" si="6"/>
        <v>299.2043836</v>
      </c>
      <c r="X191" s="69"/>
      <c r="Y191" s="69"/>
      <c r="Z191" s="69"/>
    </row>
    <row r="192" ht="15.75" hidden="1" customHeight="1">
      <c r="A192" s="44">
        <v>46216.0</v>
      </c>
      <c r="B192" s="49" t="s">
        <v>32</v>
      </c>
      <c r="C192" s="51">
        <v>788.0</v>
      </c>
      <c r="D192" s="51" t="s">
        <v>93</v>
      </c>
      <c r="E192" s="46">
        <v>788.0</v>
      </c>
      <c r="F192" s="51" t="s">
        <v>35</v>
      </c>
      <c r="G192" s="51" t="s">
        <v>46</v>
      </c>
      <c r="H192" s="49" t="s">
        <v>35</v>
      </c>
      <c r="I192" s="31">
        <f t="shared" si="1"/>
        <v>32</v>
      </c>
      <c r="J192" s="52">
        <v>63.2</v>
      </c>
      <c r="K192" s="34">
        <f t="shared" si="2"/>
        <v>64.03112329</v>
      </c>
      <c r="L192" s="51">
        <v>11.99</v>
      </c>
      <c r="M192" s="51">
        <v>1500.0</v>
      </c>
      <c r="N192" s="66">
        <v>1690.0</v>
      </c>
      <c r="O192" s="66">
        <v>1.0</v>
      </c>
      <c r="P192" s="67">
        <v>240.0</v>
      </c>
      <c r="Q192" s="38">
        <v>0.0</v>
      </c>
      <c r="R192" s="38">
        <v>0.0</v>
      </c>
      <c r="S192" s="38">
        <v>0.0</v>
      </c>
      <c r="T192" s="38">
        <f t="shared" si="3"/>
        <v>240</v>
      </c>
      <c r="U192" s="39">
        <f t="shared" si="4"/>
        <v>46248</v>
      </c>
      <c r="V192" s="40">
        <f t="shared" si="5"/>
        <v>15168</v>
      </c>
      <c r="W192" s="42">
        <f t="shared" si="6"/>
        <v>199.469589</v>
      </c>
      <c r="X192" s="69"/>
      <c r="Y192" s="69"/>
      <c r="Z192" s="69"/>
    </row>
    <row r="193" ht="15.75" customHeight="1">
      <c r="A193" s="44">
        <v>46247.0</v>
      </c>
      <c r="B193" s="49" t="s">
        <v>32</v>
      </c>
      <c r="C193" s="51">
        <v>788.0</v>
      </c>
      <c r="D193" s="51" t="s">
        <v>127</v>
      </c>
      <c r="E193" s="46">
        <v>788.0</v>
      </c>
      <c r="F193" s="51" t="s">
        <v>35</v>
      </c>
      <c r="G193" s="51" t="s">
        <v>160</v>
      </c>
      <c r="H193" s="49" t="s">
        <v>35</v>
      </c>
      <c r="I193" s="31">
        <f t="shared" si="1"/>
        <v>1</v>
      </c>
      <c r="J193" s="52">
        <v>74.5</v>
      </c>
      <c r="K193" s="34">
        <f t="shared" si="2"/>
        <v>74.53061644</v>
      </c>
      <c r="L193" s="51">
        <v>63.0</v>
      </c>
      <c r="M193" s="51">
        <v>2050.0</v>
      </c>
      <c r="N193" s="66">
        <v>6300.0</v>
      </c>
      <c r="O193" s="66">
        <v>1.0</v>
      </c>
      <c r="P193" s="67">
        <v>6730.0</v>
      </c>
      <c r="Q193" s="38">
        <v>0.0</v>
      </c>
      <c r="R193" s="38">
        <v>0.0</v>
      </c>
      <c r="S193" s="38">
        <v>0.0</v>
      </c>
      <c r="T193" s="38">
        <f t="shared" si="3"/>
        <v>6730</v>
      </c>
      <c r="U193" s="39">
        <f t="shared" si="4"/>
        <v>46248</v>
      </c>
      <c r="V193" s="40">
        <f t="shared" si="5"/>
        <v>501385</v>
      </c>
      <c r="W193" s="42">
        <f t="shared" si="6"/>
        <v>206.0486301</v>
      </c>
      <c r="X193" s="69"/>
      <c r="Y193" s="69"/>
      <c r="Z193" s="69"/>
    </row>
    <row r="194" ht="15.75" hidden="1" customHeight="1">
      <c r="A194" s="44">
        <v>46245.0</v>
      </c>
      <c r="B194" s="49" t="s">
        <v>32</v>
      </c>
      <c r="C194" s="51">
        <v>788.0</v>
      </c>
      <c r="D194" s="51" t="s">
        <v>163</v>
      </c>
      <c r="E194" s="46">
        <v>788.0</v>
      </c>
      <c r="F194" s="51" t="s">
        <v>35</v>
      </c>
      <c r="G194" s="51" t="s">
        <v>72</v>
      </c>
      <c r="H194" s="49" t="s">
        <v>35</v>
      </c>
      <c r="I194" s="31">
        <f t="shared" si="1"/>
        <v>3</v>
      </c>
      <c r="J194" s="52">
        <v>64.8</v>
      </c>
      <c r="K194" s="34">
        <f t="shared" si="2"/>
        <v>64.87989041</v>
      </c>
      <c r="L194" s="51">
        <v>40.0</v>
      </c>
      <c r="M194" s="51">
        <v>2500.0</v>
      </c>
      <c r="N194" s="66">
        <v>12000.0</v>
      </c>
      <c r="O194" s="66">
        <v>2.0</v>
      </c>
      <c r="P194" s="67">
        <v>19370.0</v>
      </c>
      <c r="Q194" s="38">
        <v>0.0</v>
      </c>
      <c r="R194" s="38">
        <v>0.0</v>
      </c>
      <c r="S194" s="38">
        <v>0.0</v>
      </c>
      <c r="T194" s="38">
        <f t="shared" si="3"/>
        <v>19370</v>
      </c>
      <c r="U194" s="39">
        <f t="shared" si="4"/>
        <v>46248</v>
      </c>
      <c r="V194" s="40">
        <f t="shared" si="5"/>
        <v>1255176</v>
      </c>
      <c r="W194" s="42">
        <f t="shared" si="6"/>
        <v>1547.47726</v>
      </c>
      <c r="X194" s="69"/>
      <c r="Y194" s="69"/>
      <c r="Z194" s="69"/>
    </row>
    <row r="195" ht="15.75" hidden="1" customHeight="1">
      <c r="A195" s="44">
        <v>46246.0</v>
      </c>
      <c r="B195" s="49" t="s">
        <v>32</v>
      </c>
      <c r="C195" s="51">
        <v>788.0</v>
      </c>
      <c r="D195" s="51" t="s">
        <v>122</v>
      </c>
      <c r="E195" s="46">
        <v>788.0</v>
      </c>
      <c r="F195" s="51" t="s">
        <v>144</v>
      </c>
      <c r="G195" s="51" t="s">
        <v>46</v>
      </c>
      <c r="H195" s="45" t="s">
        <v>35</v>
      </c>
      <c r="I195" s="31">
        <f t="shared" si="1"/>
        <v>2</v>
      </c>
      <c r="J195" s="52">
        <v>71.8</v>
      </c>
      <c r="K195" s="34">
        <f t="shared" si="2"/>
        <v>71.8590137</v>
      </c>
      <c r="L195" s="51">
        <v>80.0</v>
      </c>
      <c r="M195" s="51">
        <v>2500.0</v>
      </c>
      <c r="N195" s="51">
        <v>12000.0</v>
      </c>
      <c r="O195" s="51">
        <v>1.0</v>
      </c>
      <c r="P195" s="53">
        <v>19600.0</v>
      </c>
      <c r="Q195" s="38">
        <v>0.0</v>
      </c>
      <c r="R195" s="38">
        <v>0.0</v>
      </c>
      <c r="S195" s="38">
        <v>0.0</v>
      </c>
      <c r="T195" s="38">
        <f t="shared" si="3"/>
        <v>19600</v>
      </c>
      <c r="U195" s="39">
        <f t="shared" si="4"/>
        <v>46248</v>
      </c>
      <c r="V195" s="40">
        <f t="shared" si="5"/>
        <v>1407280</v>
      </c>
      <c r="W195" s="42">
        <f t="shared" si="6"/>
        <v>1156.668493</v>
      </c>
      <c r="X195" s="69"/>
      <c r="Y195" s="69"/>
      <c r="Z195" s="69"/>
    </row>
    <row r="196" ht="15.75" hidden="1" customHeight="1">
      <c r="A196" s="44">
        <v>46246.0</v>
      </c>
      <c r="B196" s="49" t="s">
        <v>32</v>
      </c>
      <c r="C196" s="51">
        <v>788.0</v>
      </c>
      <c r="D196" s="51" t="s">
        <v>122</v>
      </c>
      <c r="E196" s="46">
        <v>788.0</v>
      </c>
      <c r="F196" s="51" t="s">
        <v>144</v>
      </c>
      <c r="G196" s="51" t="s">
        <v>46</v>
      </c>
      <c r="H196" s="45" t="s">
        <v>35</v>
      </c>
      <c r="I196" s="31">
        <f t="shared" si="1"/>
        <v>2</v>
      </c>
      <c r="J196" s="52">
        <v>74.8</v>
      </c>
      <c r="K196" s="34">
        <f t="shared" si="2"/>
        <v>74.86147945</v>
      </c>
      <c r="L196" s="51">
        <v>90.0</v>
      </c>
      <c r="M196" s="51">
        <v>2500.0</v>
      </c>
      <c r="N196" s="51">
        <v>12000.0</v>
      </c>
      <c r="O196" s="51">
        <v>1.0</v>
      </c>
      <c r="P196" s="53">
        <v>21910.0</v>
      </c>
      <c r="Q196" s="38">
        <v>0.0</v>
      </c>
      <c r="R196" s="38">
        <v>0.0</v>
      </c>
      <c r="S196" s="38">
        <v>0.0</v>
      </c>
      <c r="T196" s="38">
        <f t="shared" si="3"/>
        <v>21910</v>
      </c>
      <c r="U196" s="39">
        <f t="shared" si="4"/>
        <v>46248</v>
      </c>
      <c r="V196" s="40">
        <f t="shared" si="5"/>
        <v>1638868</v>
      </c>
      <c r="W196" s="42">
        <f t="shared" si="6"/>
        <v>1347.014795</v>
      </c>
      <c r="X196" s="69"/>
      <c r="Y196" s="69"/>
      <c r="Z196" s="69"/>
    </row>
    <row r="197" ht="15.75" hidden="1" customHeight="1">
      <c r="A197" s="44">
        <v>46246.0</v>
      </c>
      <c r="B197" s="49" t="s">
        <v>32</v>
      </c>
      <c r="C197" s="51">
        <v>788.0</v>
      </c>
      <c r="D197" s="51" t="s">
        <v>44</v>
      </c>
      <c r="E197" s="46">
        <v>788.0</v>
      </c>
      <c r="F197" s="51" t="s">
        <v>45</v>
      </c>
      <c r="G197" s="51" t="s">
        <v>46</v>
      </c>
      <c r="H197" s="45" t="s">
        <v>35</v>
      </c>
      <c r="I197" s="31">
        <f t="shared" si="1"/>
        <v>2</v>
      </c>
      <c r="J197" s="52">
        <v>69.5</v>
      </c>
      <c r="K197" s="34">
        <f t="shared" si="2"/>
        <v>69.55712329</v>
      </c>
      <c r="L197" s="51">
        <v>10.0</v>
      </c>
      <c r="M197" s="51">
        <v>2500.0</v>
      </c>
      <c r="N197" s="51">
        <v>12000.0</v>
      </c>
      <c r="O197" s="51">
        <v>8.0</v>
      </c>
      <c r="P197" s="53">
        <v>19720.0</v>
      </c>
      <c r="Q197" s="38">
        <v>0.0</v>
      </c>
      <c r="R197" s="38">
        <v>0.0</v>
      </c>
      <c r="S197" s="38">
        <v>0.0</v>
      </c>
      <c r="T197" s="38">
        <f t="shared" si="3"/>
        <v>19720</v>
      </c>
      <c r="U197" s="39">
        <f t="shared" si="4"/>
        <v>46248</v>
      </c>
      <c r="V197" s="40">
        <f t="shared" si="5"/>
        <v>1370540</v>
      </c>
      <c r="W197" s="42">
        <f t="shared" si="6"/>
        <v>1126.471233</v>
      </c>
      <c r="X197" s="69"/>
      <c r="Y197" s="69"/>
      <c r="Z197" s="69"/>
    </row>
    <row r="198" ht="15.75" hidden="1" customHeight="1">
      <c r="A198" s="44">
        <v>46246.0</v>
      </c>
      <c r="B198" s="49" t="s">
        <v>32</v>
      </c>
      <c r="C198" s="51">
        <v>788.0</v>
      </c>
      <c r="D198" s="51" t="s">
        <v>161</v>
      </c>
      <c r="E198" s="46">
        <v>788.0</v>
      </c>
      <c r="F198" s="51" t="s">
        <v>45</v>
      </c>
      <c r="G198" s="51" t="s">
        <v>46</v>
      </c>
      <c r="H198" s="45" t="s">
        <v>35</v>
      </c>
      <c r="I198" s="31">
        <f t="shared" si="1"/>
        <v>2</v>
      </c>
      <c r="J198" s="52">
        <v>69.05</v>
      </c>
      <c r="K198" s="34">
        <f t="shared" si="2"/>
        <v>69.10675342</v>
      </c>
      <c r="L198" s="51">
        <v>25.0</v>
      </c>
      <c r="M198" s="51">
        <v>2500.0</v>
      </c>
      <c r="N198" s="51">
        <v>12000.0</v>
      </c>
      <c r="O198" s="51">
        <v>10.0</v>
      </c>
      <c r="P198" s="53">
        <v>58870.0</v>
      </c>
      <c r="Q198" s="38">
        <v>0.0</v>
      </c>
      <c r="R198" s="38">
        <v>0.0</v>
      </c>
      <c r="S198" s="38">
        <v>0.0</v>
      </c>
      <c r="T198" s="38">
        <f t="shared" si="3"/>
        <v>58870</v>
      </c>
      <c r="U198" s="39">
        <f t="shared" si="4"/>
        <v>46248</v>
      </c>
      <c r="V198" s="40">
        <f t="shared" si="5"/>
        <v>4064973.5</v>
      </c>
      <c r="W198" s="42">
        <f t="shared" si="6"/>
        <v>3341.07411</v>
      </c>
      <c r="X198" s="69"/>
      <c r="Y198" s="69"/>
      <c r="Z198" s="69"/>
    </row>
    <row r="199" ht="15.75" hidden="1" customHeight="1">
      <c r="A199" s="44">
        <v>46246.0</v>
      </c>
      <c r="B199" s="49" t="s">
        <v>32</v>
      </c>
      <c r="C199" s="51">
        <v>788.0</v>
      </c>
      <c r="D199" s="51" t="s">
        <v>161</v>
      </c>
      <c r="E199" s="46">
        <v>788.0</v>
      </c>
      <c r="F199" s="51" t="s">
        <v>45</v>
      </c>
      <c r="G199" s="51" t="s">
        <v>46</v>
      </c>
      <c r="H199" s="45" t="s">
        <v>35</v>
      </c>
      <c r="I199" s="31">
        <f t="shared" si="1"/>
        <v>2</v>
      </c>
      <c r="J199" s="52">
        <v>69.05</v>
      </c>
      <c r="K199" s="34">
        <f t="shared" si="2"/>
        <v>69.10675342</v>
      </c>
      <c r="L199" s="51">
        <v>50.0</v>
      </c>
      <c r="M199" s="51">
        <v>2500.0</v>
      </c>
      <c r="N199" s="51">
        <v>12000.0</v>
      </c>
      <c r="O199" s="51">
        <v>1.0</v>
      </c>
      <c r="P199" s="53">
        <v>11765.0</v>
      </c>
      <c r="Q199" s="38">
        <v>0.0</v>
      </c>
      <c r="R199" s="38">
        <v>0.0</v>
      </c>
      <c r="S199" s="38">
        <v>0.0</v>
      </c>
      <c r="T199" s="38">
        <f t="shared" si="3"/>
        <v>11765</v>
      </c>
      <c r="U199" s="39">
        <f t="shared" si="4"/>
        <v>46248</v>
      </c>
      <c r="V199" s="40">
        <f t="shared" si="5"/>
        <v>812373.25</v>
      </c>
      <c r="W199" s="42">
        <f t="shared" si="6"/>
        <v>667.7040411</v>
      </c>
      <c r="X199" s="69"/>
      <c r="Y199" s="69"/>
      <c r="Z199" s="69"/>
    </row>
    <row r="200" ht="15.75" hidden="1" customHeight="1">
      <c r="A200" s="44">
        <v>46246.0</v>
      </c>
      <c r="B200" s="49" t="s">
        <v>32</v>
      </c>
      <c r="C200" s="51">
        <v>788.0</v>
      </c>
      <c r="D200" s="51" t="s">
        <v>161</v>
      </c>
      <c r="E200" s="46">
        <v>788.0</v>
      </c>
      <c r="F200" s="51" t="s">
        <v>45</v>
      </c>
      <c r="G200" s="51" t="s">
        <v>46</v>
      </c>
      <c r="H200" s="45" t="s">
        <v>35</v>
      </c>
      <c r="I200" s="31">
        <f t="shared" si="1"/>
        <v>2</v>
      </c>
      <c r="J200" s="52">
        <v>69.05</v>
      </c>
      <c r="K200" s="34">
        <f t="shared" si="2"/>
        <v>69.10675342</v>
      </c>
      <c r="L200" s="51">
        <v>14.0</v>
      </c>
      <c r="M200" s="51">
        <v>2500.0</v>
      </c>
      <c r="N200" s="51">
        <v>12000.0</v>
      </c>
      <c r="O200" s="51">
        <v>3.0</v>
      </c>
      <c r="P200" s="53">
        <v>9891.0</v>
      </c>
      <c r="Q200" s="38">
        <v>0.0</v>
      </c>
      <c r="R200" s="38">
        <v>0.0</v>
      </c>
      <c r="S200" s="38">
        <v>0.0</v>
      </c>
      <c r="T200" s="38">
        <f t="shared" si="3"/>
        <v>9891</v>
      </c>
      <c r="U200" s="39">
        <f t="shared" si="4"/>
        <v>46248</v>
      </c>
      <c r="V200" s="40">
        <f t="shared" si="5"/>
        <v>682973.55</v>
      </c>
      <c r="W200" s="42">
        <f t="shared" si="6"/>
        <v>561.3481233</v>
      </c>
      <c r="X200" s="69"/>
      <c r="Y200" s="69"/>
      <c r="Z200" s="69"/>
    </row>
    <row r="201" ht="15.75" hidden="1" customHeight="1">
      <c r="A201" s="44">
        <v>46246.0</v>
      </c>
      <c r="B201" s="49" t="s">
        <v>32</v>
      </c>
      <c r="C201" s="51">
        <v>788.0</v>
      </c>
      <c r="D201" s="51" t="s">
        <v>161</v>
      </c>
      <c r="E201" s="46">
        <v>788.0</v>
      </c>
      <c r="F201" s="51" t="s">
        <v>45</v>
      </c>
      <c r="G201" s="51" t="s">
        <v>46</v>
      </c>
      <c r="H201" s="45" t="s">
        <v>35</v>
      </c>
      <c r="I201" s="31">
        <f t="shared" si="1"/>
        <v>2</v>
      </c>
      <c r="J201" s="52">
        <v>69.05</v>
      </c>
      <c r="K201" s="34">
        <f t="shared" si="2"/>
        <v>69.10675342</v>
      </c>
      <c r="L201" s="51">
        <v>15.0</v>
      </c>
      <c r="M201" s="51">
        <v>2500.0</v>
      </c>
      <c r="N201" s="51">
        <v>12000.0</v>
      </c>
      <c r="O201" s="51">
        <v>3.0</v>
      </c>
      <c r="P201" s="53">
        <v>10598.0</v>
      </c>
      <c r="Q201" s="38">
        <v>0.0</v>
      </c>
      <c r="R201" s="38">
        <v>0.0</v>
      </c>
      <c r="S201" s="38">
        <v>0.0</v>
      </c>
      <c r="T201" s="38">
        <f t="shared" si="3"/>
        <v>10598</v>
      </c>
      <c r="U201" s="39">
        <f t="shared" si="4"/>
        <v>46248</v>
      </c>
      <c r="V201" s="40">
        <f t="shared" si="5"/>
        <v>731791.9</v>
      </c>
      <c r="W201" s="42">
        <f t="shared" si="6"/>
        <v>601.4727945</v>
      </c>
      <c r="X201" s="69"/>
      <c r="Y201" s="69"/>
      <c r="Z201" s="69"/>
    </row>
    <row r="202" ht="15.75" hidden="1" customHeight="1">
      <c r="A202" s="44">
        <v>46246.0</v>
      </c>
      <c r="B202" s="49" t="s">
        <v>32</v>
      </c>
      <c r="C202" s="51">
        <v>788.0</v>
      </c>
      <c r="D202" s="51" t="s">
        <v>161</v>
      </c>
      <c r="E202" s="46">
        <v>788.0</v>
      </c>
      <c r="F202" s="51" t="s">
        <v>45</v>
      </c>
      <c r="G202" s="51" t="s">
        <v>46</v>
      </c>
      <c r="H202" s="45" t="s">
        <v>35</v>
      </c>
      <c r="I202" s="31">
        <f t="shared" si="1"/>
        <v>2</v>
      </c>
      <c r="J202" s="52">
        <v>69.05</v>
      </c>
      <c r="K202" s="34">
        <f t="shared" si="2"/>
        <v>69.10675342</v>
      </c>
      <c r="L202" s="51">
        <v>20.0</v>
      </c>
      <c r="M202" s="51">
        <v>2500.0</v>
      </c>
      <c r="N202" s="51">
        <v>12000.0</v>
      </c>
      <c r="O202" s="51">
        <v>3.0</v>
      </c>
      <c r="P202" s="53">
        <v>14130.0</v>
      </c>
      <c r="Q202" s="38">
        <v>0.0</v>
      </c>
      <c r="R202" s="38">
        <v>0.0</v>
      </c>
      <c r="S202" s="38">
        <v>0.0</v>
      </c>
      <c r="T202" s="38">
        <f t="shared" si="3"/>
        <v>14130</v>
      </c>
      <c r="U202" s="39">
        <f t="shared" si="4"/>
        <v>46248</v>
      </c>
      <c r="V202" s="40">
        <f t="shared" si="5"/>
        <v>975676.5</v>
      </c>
      <c r="W202" s="42">
        <f t="shared" si="6"/>
        <v>801.9258904</v>
      </c>
      <c r="X202" s="69"/>
      <c r="Y202" s="69"/>
      <c r="Z202" s="69"/>
    </row>
    <row r="203" ht="15.75" hidden="1" customHeight="1">
      <c r="A203" s="44">
        <v>46246.0</v>
      </c>
      <c r="B203" s="49" t="s">
        <v>32</v>
      </c>
      <c r="C203" s="51">
        <v>788.0</v>
      </c>
      <c r="D203" s="51" t="s">
        <v>161</v>
      </c>
      <c r="E203" s="46">
        <v>788.0</v>
      </c>
      <c r="F203" s="51" t="s">
        <v>45</v>
      </c>
      <c r="G203" s="51" t="s">
        <v>46</v>
      </c>
      <c r="H203" s="45" t="s">
        <v>35</v>
      </c>
      <c r="I203" s="31">
        <f t="shared" si="1"/>
        <v>2</v>
      </c>
      <c r="J203" s="52">
        <v>69.05</v>
      </c>
      <c r="K203" s="34">
        <f t="shared" si="2"/>
        <v>69.10675342</v>
      </c>
      <c r="L203" s="51">
        <v>22.0</v>
      </c>
      <c r="M203" s="51">
        <v>2500.0</v>
      </c>
      <c r="N203" s="51">
        <v>12000.0</v>
      </c>
      <c r="O203" s="51">
        <v>1.0</v>
      </c>
      <c r="P203" s="53">
        <v>5181.0</v>
      </c>
      <c r="Q203" s="38">
        <v>0.0</v>
      </c>
      <c r="R203" s="38">
        <v>0.0</v>
      </c>
      <c r="S203" s="38">
        <v>0.0</v>
      </c>
      <c r="T203" s="38">
        <f t="shared" si="3"/>
        <v>5181</v>
      </c>
      <c r="U203" s="39">
        <f t="shared" si="4"/>
        <v>46248</v>
      </c>
      <c r="V203" s="40">
        <f t="shared" si="5"/>
        <v>357748.05</v>
      </c>
      <c r="W203" s="42">
        <f t="shared" si="6"/>
        <v>294.0394932</v>
      </c>
      <c r="X203" s="69"/>
      <c r="Y203" s="69"/>
      <c r="Z203" s="69"/>
    </row>
    <row r="204" ht="15.75" hidden="1" customHeight="1">
      <c r="A204" s="44">
        <v>46246.0</v>
      </c>
      <c r="B204" s="49" t="s">
        <v>32</v>
      </c>
      <c r="C204" s="51">
        <v>788.0</v>
      </c>
      <c r="D204" s="51" t="s">
        <v>161</v>
      </c>
      <c r="E204" s="46">
        <v>788.0</v>
      </c>
      <c r="F204" s="51" t="s">
        <v>45</v>
      </c>
      <c r="G204" s="51" t="s">
        <v>46</v>
      </c>
      <c r="H204" s="45" t="s">
        <v>35</v>
      </c>
      <c r="I204" s="31">
        <f t="shared" si="1"/>
        <v>2</v>
      </c>
      <c r="J204" s="52">
        <v>69.05</v>
      </c>
      <c r="K204" s="34">
        <f t="shared" si="2"/>
        <v>69.10675342</v>
      </c>
      <c r="L204" s="51">
        <v>25.0</v>
      </c>
      <c r="M204" s="51">
        <v>2500.0</v>
      </c>
      <c r="N204" s="51">
        <v>12000.0</v>
      </c>
      <c r="O204" s="51">
        <v>2.0</v>
      </c>
      <c r="P204" s="53">
        <v>11775.0</v>
      </c>
      <c r="Q204" s="38">
        <v>0.0</v>
      </c>
      <c r="R204" s="38">
        <v>0.0</v>
      </c>
      <c r="S204" s="38">
        <v>0.0</v>
      </c>
      <c r="T204" s="38">
        <f t="shared" si="3"/>
        <v>11775</v>
      </c>
      <c r="U204" s="39">
        <f t="shared" si="4"/>
        <v>46248</v>
      </c>
      <c r="V204" s="40">
        <f t="shared" si="5"/>
        <v>813063.75</v>
      </c>
      <c r="W204" s="42">
        <f t="shared" si="6"/>
        <v>668.2715753</v>
      </c>
      <c r="X204" s="69"/>
      <c r="Y204" s="69"/>
      <c r="Z204" s="69"/>
    </row>
    <row r="205" ht="15.75" hidden="1" customHeight="1">
      <c r="A205" s="44">
        <v>46198.0</v>
      </c>
      <c r="B205" s="49" t="s">
        <v>32</v>
      </c>
      <c r="C205" s="51">
        <v>788.0</v>
      </c>
      <c r="D205" s="51" t="s">
        <v>164</v>
      </c>
      <c r="E205" s="51">
        <v>788.0</v>
      </c>
      <c r="F205" s="51" t="s">
        <v>60</v>
      </c>
      <c r="G205" s="51" t="s">
        <v>72</v>
      </c>
      <c r="H205" s="45" t="s">
        <v>35</v>
      </c>
      <c r="I205" s="31">
        <f t="shared" si="1"/>
        <v>50</v>
      </c>
      <c r="J205" s="52">
        <v>61.1</v>
      </c>
      <c r="K205" s="34">
        <f t="shared" si="2"/>
        <v>62.35547945</v>
      </c>
      <c r="L205" s="51">
        <v>4.0</v>
      </c>
      <c r="M205" s="51">
        <v>2000.0</v>
      </c>
      <c r="N205" s="51">
        <v>6300.0</v>
      </c>
      <c r="O205" s="51">
        <v>0.0</v>
      </c>
      <c r="P205" s="53">
        <v>13550.0</v>
      </c>
      <c r="Q205" s="38">
        <v>0.0</v>
      </c>
      <c r="R205" s="38">
        <v>0.0</v>
      </c>
      <c r="S205" s="38">
        <v>0.0</v>
      </c>
      <c r="T205" s="38">
        <f t="shared" si="3"/>
        <v>13550</v>
      </c>
      <c r="U205" s="39">
        <f t="shared" si="4"/>
        <v>46248</v>
      </c>
      <c r="V205" s="40">
        <f t="shared" si="5"/>
        <v>827905</v>
      </c>
      <c r="W205" s="42">
        <f t="shared" si="6"/>
        <v>17011.74658</v>
      </c>
      <c r="X205" s="69"/>
      <c r="Y205" s="69"/>
      <c r="Z205" s="69"/>
    </row>
    <row r="206" ht="15.75" hidden="1" customHeight="1">
      <c r="A206" s="44">
        <v>46203.0</v>
      </c>
      <c r="B206" s="49" t="s">
        <v>32</v>
      </c>
      <c r="C206" s="51">
        <v>788.0</v>
      </c>
      <c r="D206" s="51" t="s">
        <v>161</v>
      </c>
      <c r="E206" s="51">
        <v>788.0</v>
      </c>
      <c r="F206" s="51" t="s">
        <v>35</v>
      </c>
      <c r="G206" s="51" t="s">
        <v>72</v>
      </c>
      <c r="H206" s="45" t="s">
        <v>35</v>
      </c>
      <c r="I206" s="31">
        <f t="shared" si="1"/>
        <v>45</v>
      </c>
      <c r="J206" s="52">
        <v>58.65</v>
      </c>
      <c r="K206" s="34">
        <f t="shared" si="2"/>
        <v>59.73462329</v>
      </c>
      <c r="L206" s="51">
        <v>4.0</v>
      </c>
      <c r="M206" s="51">
        <v>1250.0</v>
      </c>
      <c r="N206" s="51" t="s">
        <v>89</v>
      </c>
      <c r="O206" s="51">
        <v>0.0</v>
      </c>
      <c r="P206" s="53">
        <v>620.0</v>
      </c>
      <c r="Q206" s="38">
        <v>0.0</v>
      </c>
      <c r="R206" s="38">
        <v>0.0</v>
      </c>
      <c r="S206" s="38">
        <v>0.0</v>
      </c>
      <c r="T206" s="38">
        <f t="shared" si="3"/>
        <v>620</v>
      </c>
      <c r="U206" s="39">
        <f t="shared" si="4"/>
        <v>46248</v>
      </c>
      <c r="V206" s="40">
        <f t="shared" si="5"/>
        <v>36363</v>
      </c>
      <c r="W206" s="42">
        <f t="shared" si="6"/>
        <v>672.4664384</v>
      </c>
      <c r="X206" s="69"/>
      <c r="Y206" s="69"/>
      <c r="Z206" s="69"/>
    </row>
    <row r="207" ht="15.75" hidden="1" customHeight="1">
      <c r="A207" s="44">
        <v>46205.0</v>
      </c>
      <c r="B207" s="49" t="s">
        <v>32</v>
      </c>
      <c r="C207" s="51">
        <v>788.0</v>
      </c>
      <c r="D207" s="51" t="s">
        <v>165</v>
      </c>
      <c r="E207" s="51">
        <v>788.0</v>
      </c>
      <c r="F207" s="51" t="s">
        <v>35</v>
      </c>
      <c r="G207" s="51" t="s">
        <v>72</v>
      </c>
      <c r="H207" s="45" t="s">
        <v>35</v>
      </c>
      <c r="I207" s="31">
        <f t="shared" si="1"/>
        <v>43</v>
      </c>
      <c r="J207" s="52">
        <v>59.0</v>
      </c>
      <c r="K207" s="34">
        <f t="shared" si="2"/>
        <v>60.04260274</v>
      </c>
      <c r="L207" s="51">
        <v>5.0</v>
      </c>
      <c r="M207" s="51">
        <v>1500.0</v>
      </c>
      <c r="N207" s="51">
        <v>1400.0</v>
      </c>
      <c r="O207" s="51">
        <v>1.0</v>
      </c>
      <c r="P207" s="53">
        <v>80.0</v>
      </c>
      <c r="Q207" s="38">
        <v>0.0</v>
      </c>
      <c r="R207" s="38">
        <v>0.0</v>
      </c>
      <c r="S207" s="38">
        <v>0.0</v>
      </c>
      <c r="T207" s="38">
        <f t="shared" si="3"/>
        <v>80</v>
      </c>
      <c r="U207" s="39">
        <f t="shared" si="4"/>
        <v>46248</v>
      </c>
      <c r="V207" s="40">
        <f t="shared" si="5"/>
        <v>4720</v>
      </c>
      <c r="W207" s="42">
        <f t="shared" si="6"/>
        <v>83.40821918</v>
      </c>
      <c r="X207" s="69"/>
      <c r="Y207" s="69"/>
      <c r="Z207" s="69"/>
    </row>
    <row r="208" ht="15.75" hidden="1" customHeight="1">
      <c r="A208" s="44">
        <v>46112.0</v>
      </c>
      <c r="B208" s="49" t="s">
        <v>32</v>
      </c>
      <c r="C208" s="51">
        <v>788.0</v>
      </c>
      <c r="D208" s="51" t="s">
        <v>146</v>
      </c>
      <c r="E208" s="51">
        <v>788.0</v>
      </c>
      <c r="F208" s="51" t="s">
        <v>35</v>
      </c>
      <c r="G208" s="51" t="s">
        <v>72</v>
      </c>
      <c r="H208" s="45" t="s">
        <v>35</v>
      </c>
      <c r="I208" s="31">
        <f t="shared" si="1"/>
        <v>136</v>
      </c>
      <c r="J208" s="52">
        <v>51.94</v>
      </c>
      <c r="K208" s="34">
        <f t="shared" si="2"/>
        <v>54.84294795</v>
      </c>
      <c r="L208" s="51">
        <v>10.0</v>
      </c>
      <c r="M208" s="51">
        <v>1500.0</v>
      </c>
      <c r="N208" s="51">
        <v>2800.0</v>
      </c>
      <c r="O208" s="51">
        <v>1.0</v>
      </c>
      <c r="P208" s="53">
        <v>330.0</v>
      </c>
      <c r="Q208" s="38">
        <v>0.0</v>
      </c>
      <c r="R208" s="38">
        <v>0.0</v>
      </c>
      <c r="S208" s="38">
        <v>0.0</v>
      </c>
      <c r="T208" s="38">
        <f t="shared" si="3"/>
        <v>330</v>
      </c>
      <c r="U208" s="39">
        <f t="shared" si="4"/>
        <v>46248</v>
      </c>
      <c r="V208" s="40">
        <f t="shared" si="5"/>
        <v>17140.2</v>
      </c>
      <c r="W208" s="42">
        <f t="shared" si="6"/>
        <v>957.9728219</v>
      </c>
      <c r="X208" s="69"/>
      <c r="Y208" s="69"/>
      <c r="Z208" s="69"/>
    </row>
    <row r="209" ht="15.75" hidden="1" customHeight="1">
      <c r="A209" s="44">
        <v>46112.0</v>
      </c>
      <c r="B209" s="49" t="s">
        <v>32</v>
      </c>
      <c r="C209" s="51">
        <v>788.0</v>
      </c>
      <c r="D209" s="51" t="s">
        <v>146</v>
      </c>
      <c r="E209" s="51">
        <v>788.0</v>
      </c>
      <c r="F209" s="51" t="s">
        <v>35</v>
      </c>
      <c r="G209" s="51" t="s">
        <v>72</v>
      </c>
      <c r="H209" s="45" t="s">
        <v>35</v>
      </c>
      <c r="I209" s="31">
        <f t="shared" si="1"/>
        <v>136</v>
      </c>
      <c r="J209" s="52">
        <v>51.94</v>
      </c>
      <c r="K209" s="34">
        <f t="shared" si="2"/>
        <v>54.84294795</v>
      </c>
      <c r="L209" s="51">
        <v>16.0</v>
      </c>
      <c r="M209" s="51">
        <v>1500.0</v>
      </c>
      <c r="N209" s="51">
        <v>4500.0</v>
      </c>
      <c r="O209" s="51">
        <v>1.0</v>
      </c>
      <c r="P209" s="53">
        <v>860.0</v>
      </c>
      <c r="Q209" s="38">
        <v>0.0</v>
      </c>
      <c r="R209" s="38">
        <v>0.0</v>
      </c>
      <c r="S209" s="38">
        <v>0.0</v>
      </c>
      <c r="T209" s="38">
        <f t="shared" si="3"/>
        <v>860</v>
      </c>
      <c r="U209" s="39">
        <f t="shared" si="4"/>
        <v>46248</v>
      </c>
      <c r="V209" s="40">
        <f t="shared" si="5"/>
        <v>44668.4</v>
      </c>
      <c r="W209" s="42">
        <f t="shared" si="6"/>
        <v>2496.535233</v>
      </c>
      <c r="X209" s="69"/>
      <c r="Y209" s="69"/>
      <c r="Z209" s="69"/>
    </row>
    <row r="210" ht="15.75" customHeight="1">
      <c r="A210" s="44">
        <v>46240.0</v>
      </c>
      <c r="B210" s="49" t="s">
        <v>32</v>
      </c>
      <c r="C210" s="51">
        <v>788.0</v>
      </c>
      <c r="D210" s="51" t="s">
        <v>127</v>
      </c>
      <c r="E210" s="51">
        <v>788.0</v>
      </c>
      <c r="F210" s="51" t="s">
        <v>35</v>
      </c>
      <c r="G210" s="51" t="s">
        <v>166</v>
      </c>
      <c r="H210" s="45" t="s">
        <v>35</v>
      </c>
      <c r="I210" s="31">
        <f t="shared" si="1"/>
        <v>8</v>
      </c>
      <c r="J210" s="52">
        <v>93.5</v>
      </c>
      <c r="K210" s="34" t="str">
        <f t="shared" si="2"/>
        <v>#DIV/0!</v>
      </c>
      <c r="L210" s="51">
        <v>16.0</v>
      </c>
      <c r="M210" s="51">
        <v>2000.0</v>
      </c>
      <c r="N210" s="51">
        <v>6000.0</v>
      </c>
      <c r="O210" s="51">
        <v>10.0</v>
      </c>
      <c r="P210" s="53">
        <v>0.0</v>
      </c>
      <c r="Q210" s="38">
        <v>0.0</v>
      </c>
      <c r="R210" s="38">
        <v>0.0</v>
      </c>
      <c r="S210" s="38">
        <v>0.0</v>
      </c>
      <c r="T210" s="38">
        <f t="shared" si="3"/>
        <v>0</v>
      </c>
      <c r="U210" s="39">
        <f t="shared" si="4"/>
        <v>46248</v>
      </c>
      <c r="V210" s="40">
        <f t="shared" si="5"/>
        <v>0</v>
      </c>
      <c r="W210" s="42">
        <f t="shared" si="6"/>
        <v>0</v>
      </c>
      <c r="X210" s="69"/>
      <c r="Y210" s="69"/>
      <c r="Z210" s="69"/>
    </row>
    <row r="211" ht="15.75" hidden="1" customHeight="1">
      <c r="A211" s="44">
        <v>46041.0</v>
      </c>
      <c r="B211" s="45" t="s">
        <v>32</v>
      </c>
      <c r="C211" s="46" t="s">
        <v>75</v>
      </c>
      <c r="D211" s="46" t="s">
        <v>55</v>
      </c>
      <c r="E211" s="46" t="s">
        <v>75</v>
      </c>
      <c r="F211" s="46" t="s">
        <v>49</v>
      </c>
      <c r="G211" s="46" t="s">
        <v>95</v>
      </c>
      <c r="H211" s="30" t="s">
        <v>35</v>
      </c>
      <c r="I211" s="31">
        <f t="shared" si="1"/>
        <v>207</v>
      </c>
      <c r="J211" s="52">
        <v>104.0</v>
      </c>
      <c r="K211" s="34">
        <f t="shared" si="2"/>
        <v>112.8471233</v>
      </c>
      <c r="L211" s="46">
        <v>35.0</v>
      </c>
      <c r="M211" s="46">
        <v>2000.0</v>
      </c>
      <c r="N211" s="46">
        <v>6000.0</v>
      </c>
      <c r="O211" s="46">
        <v>1.0</v>
      </c>
      <c r="P211" s="36">
        <v>3417.0</v>
      </c>
      <c r="Q211" s="38">
        <v>0.0</v>
      </c>
      <c r="R211" s="38">
        <v>0.0</v>
      </c>
      <c r="S211" s="38">
        <v>0.0</v>
      </c>
      <c r="T211" s="38">
        <f t="shared" si="3"/>
        <v>3417</v>
      </c>
      <c r="U211" s="39">
        <f t="shared" si="4"/>
        <v>46248</v>
      </c>
      <c r="V211" s="40">
        <f t="shared" si="5"/>
        <v>355368</v>
      </c>
      <c r="W211" s="42">
        <f t="shared" si="6"/>
        <v>30230.62027</v>
      </c>
      <c r="X211" s="69"/>
      <c r="Y211" s="69"/>
      <c r="Z211" s="69"/>
    </row>
    <row r="212" ht="15.75" hidden="1" customHeight="1">
      <c r="A212" s="44">
        <v>46246.0</v>
      </c>
      <c r="B212" s="49" t="s">
        <v>32</v>
      </c>
      <c r="C212" s="46">
        <v>788.0</v>
      </c>
      <c r="D212" s="46" t="s">
        <v>167</v>
      </c>
      <c r="E212" s="46">
        <v>788.0</v>
      </c>
      <c r="F212" s="46" t="s">
        <v>40</v>
      </c>
      <c r="G212" s="46" t="s">
        <v>95</v>
      </c>
      <c r="H212" s="45" t="s">
        <v>35</v>
      </c>
      <c r="I212" s="31">
        <f t="shared" si="1"/>
        <v>2</v>
      </c>
      <c r="J212" s="52">
        <v>99.5</v>
      </c>
      <c r="K212" s="34">
        <f t="shared" si="2"/>
        <v>99.58178082</v>
      </c>
      <c r="L212" s="46">
        <v>30.0</v>
      </c>
      <c r="M212" s="46">
        <v>2000.0</v>
      </c>
      <c r="N212" s="46">
        <v>6000.0</v>
      </c>
      <c r="O212" s="46">
        <v>1.0</v>
      </c>
      <c r="P212" s="36">
        <v>2920.0</v>
      </c>
      <c r="Q212" s="38">
        <v>0.0</v>
      </c>
      <c r="R212" s="38">
        <v>0.0</v>
      </c>
      <c r="S212" s="38">
        <v>0.0</v>
      </c>
      <c r="T212" s="38">
        <f t="shared" si="3"/>
        <v>2920</v>
      </c>
      <c r="U212" s="39">
        <f t="shared" si="4"/>
        <v>46248</v>
      </c>
      <c r="V212" s="40">
        <f t="shared" si="5"/>
        <v>290540</v>
      </c>
      <c r="W212" s="42">
        <f t="shared" si="6"/>
        <v>238.8</v>
      </c>
      <c r="X212" s="69"/>
      <c r="Y212" s="69"/>
      <c r="Z212" s="69"/>
    </row>
    <row r="213" ht="15.75" customHeight="1">
      <c r="A213" s="44">
        <v>46247.0</v>
      </c>
      <c r="B213" s="49" t="s">
        <v>32</v>
      </c>
      <c r="C213" s="46">
        <v>788.0</v>
      </c>
      <c r="D213" s="46" t="s">
        <v>168</v>
      </c>
      <c r="E213" s="46">
        <v>788.0</v>
      </c>
      <c r="F213" s="46" t="s">
        <v>40</v>
      </c>
      <c r="G213" s="46" t="s">
        <v>85</v>
      </c>
      <c r="H213" s="45" t="s">
        <v>35</v>
      </c>
      <c r="I213" s="31">
        <f t="shared" si="1"/>
        <v>1</v>
      </c>
      <c r="J213" s="52">
        <v>94.0</v>
      </c>
      <c r="K213" s="34">
        <f t="shared" si="2"/>
        <v>94.03863014</v>
      </c>
      <c r="L213" s="46">
        <v>10.0</v>
      </c>
      <c r="M213" s="46">
        <v>2500.0</v>
      </c>
      <c r="N213" s="46">
        <v>6000.0</v>
      </c>
      <c r="O213" s="46">
        <v>16.0</v>
      </c>
      <c r="P213" s="36">
        <v>19970.0</v>
      </c>
      <c r="Q213" s="38">
        <v>0.0</v>
      </c>
      <c r="R213" s="38">
        <v>0.0</v>
      </c>
      <c r="S213" s="38">
        <v>0.0</v>
      </c>
      <c r="T213" s="38">
        <f t="shared" si="3"/>
        <v>19970</v>
      </c>
      <c r="U213" s="39">
        <f t="shared" si="4"/>
        <v>46248</v>
      </c>
      <c r="V213" s="40">
        <f t="shared" si="5"/>
        <v>1877180</v>
      </c>
      <c r="W213" s="42">
        <f t="shared" si="6"/>
        <v>771.4438356</v>
      </c>
      <c r="X213" s="69"/>
      <c r="Y213" s="69"/>
      <c r="Z213" s="69"/>
    </row>
    <row r="214" ht="15.75" customHeight="1">
      <c r="A214" s="44">
        <v>46228.0</v>
      </c>
      <c r="B214" s="49" t="s">
        <v>32</v>
      </c>
      <c r="C214" s="50">
        <v>788.0</v>
      </c>
      <c r="D214" s="51" t="s">
        <v>55</v>
      </c>
      <c r="E214" s="30">
        <v>788.0</v>
      </c>
      <c r="F214" s="50" t="s">
        <v>49</v>
      </c>
      <c r="G214" s="51" t="s">
        <v>56</v>
      </c>
      <c r="H214" s="49" t="s">
        <v>35</v>
      </c>
      <c r="I214" s="31">
        <f t="shared" si="1"/>
        <v>20</v>
      </c>
      <c r="J214" s="52">
        <v>110.5</v>
      </c>
      <c r="K214" s="34">
        <f t="shared" si="2"/>
        <v>111.4082192</v>
      </c>
      <c r="L214" s="51">
        <v>12.0</v>
      </c>
      <c r="M214" s="51">
        <v>2500.0</v>
      </c>
      <c r="N214" s="51">
        <v>12000.0</v>
      </c>
      <c r="O214" s="51">
        <v>5.0</v>
      </c>
      <c r="P214" s="53">
        <v>14855.0</v>
      </c>
      <c r="Q214" s="38">
        <v>0.0</v>
      </c>
      <c r="R214" s="38">
        <v>0.0</v>
      </c>
      <c r="S214" s="38">
        <v>0.0</v>
      </c>
      <c r="T214" s="38">
        <f t="shared" si="3"/>
        <v>14855</v>
      </c>
      <c r="U214" s="39">
        <f t="shared" si="4"/>
        <v>46248</v>
      </c>
      <c r="V214" s="40">
        <f t="shared" si="5"/>
        <v>1641477.5</v>
      </c>
      <c r="W214" s="42">
        <f t="shared" si="6"/>
        <v>13491.59589</v>
      </c>
      <c r="X214" s="69"/>
      <c r="Y214" s="69"/>
      <c r="Z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ht="15.7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ht="15.7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  <row r="1003" ht="15.75" customHeight="1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</row>
    <row r="1004" ht="15.75" customHeight="1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</row>
    <row r="1005" ht="15.75" customHeight="1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</row>
    <row r="1006" ht="15.75" customHeight="1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</row>
    <row r="1007" ht="15.75" customHeight="1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</row>
    <row r="1008" ht="15.75" customHeight="1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</row>
    <row r="1009" ht="15.75" customHeight="1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</row>
    <row r="1010" ht="15.75" customHeight="1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</row>
    <row r="1011" ht="15.75" customHeight="1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</row>
    <row r="1012" ht="15.75" customHeight="1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</row>
    <row r="1013" ht="15.75" customHeight="1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</row>
    <row r="1014" ht="15.75" customHeight="1">
      <c r="A1014" s="69"/>
      <c r="B1014" s="69"/>
      <c r="C1014" s="69"/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</row>
    <row r="1015" ht="15.75" customHeight="1">
      <c r="A1015" s="69"/>
      <c r="B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</row>
    <row r="1016" ht="15.75" customHeight="1">
      <c r="A1016" s="69"/>
      <c r="B1016" s="69"/>
      <c r="C1016" s="69"/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</row>
    <row r="1017" ht="15.75" customHeight="1">
      <c r="A1017" s="69"/>
      <c r="B1017" s="69"/>
      <c r="C1017" s="69"/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</row>
    <row r="1018" ht="15.75" customHeight="1">
      <c r="A1018" s="69"/>
      <c r="B1018" s="69"/>
      <c r="C1018" s="69"/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</row>
    <row r="1019" ht="15.75" customHeight="1">
      <c r="A1019" s="69"/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</row>
    <row r="1020" ht="15.75" customHeight="1">
      <c r="A1020" s="69"/>
      <c r="B1020" s="69"/>
      <c r="C1020" s="69"/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</row>
    <row r="1021" ht="15.75" customHeight="1">
      <c r="A1021" s="69"/>
      <c r="B1021" s="69"/>
      <c r="C1021" s="69"/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</row>
    <row r="1022" ht="15.75" customHeight="1">
      <c r="A1022" s="69"/>
      <c r="B1022" s="69"/>
      <c r="C1022" s="69"/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</row>
    <row r="1023" ht="15.75" customHeight="1">
      <c r="A1023" s="69"/>
      <c r="B1023" s="69"/>
      <c r="C1023" s="69"/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</row>
    <row r="1024" ht="15.75" customHeight="1">
      <c r="A1024" s="69"/>
      <c r="B1024" s="69"/>
      <c r="C1024" s="69"/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</row>
    <row r="1025" ht="15.75" customHeight="1">
      <c r="A1025" s="69"/>
      <c r="B1025" s="69"/>
      <c r="C1025" s="69"/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</row>
    <row r="1026" ht="15.75" customHeight="1">
      <c r="A1026" s="69"/>
      <c r="B1026" s="69"/>
      <c r="C1026" s="69"/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</row>
    <row r="1027" ht="15.75" customHeight="1">
      <c r="A1027" s="69"/>
      <c r="B1027" s="69"/>
      <c r="C1027" s="69"/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</row>
    <row r="1028" ht="15.75" customHeight="1">
      <c r="A1028" s="69"/>
      <c r="B1028" s="69"/>
      <c r="C1028" s="69"/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</row>
    <row r="1029" ht="15.75" customHeight="1">
      <c r="A1029" s="69"/>
      <c r="B1029" s="69"/>
      <c r="C1029" s="69"/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</row>
    <row r="1030" ht="15.75" customHeight="1">
      <c r="A1030" s="69"/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</row>
    <row r="1031" ht="15.75" customHeight="1">
      <c r="A1031" s="69"/>
      <c r="B1031" s="69"/>
      <c r="C1031" s="69"/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</row>
    <row r="1032" ht="15.75" customHeight="1">
      <c r="A1032" s="69"/>
      <c r="B1032" s="69"/>
      <c r="C1032" s="69"/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</row>
    <row r="1033" ht="15.75" customHeight="1">
      <c r="A1033" s="69"/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</row>
    <row r="1034" ht="15.75" customHeight="1">
      <c r="A1034" s="69"/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</row>
    <row r="1035" ht="15.75" customHeight="1">
      <c r="A1035" s="69"/>
      <c r="B1035" s="69"/>
      <c r="C1035" s="69"/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</row>
    <row r="1036" ht="15.75" customHeight="1">
      <c r="A1036" s="69"/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</row>
    <row r="1037" ht="15.75" customHeight="1">
      <c r="A1037" s="69"/>
      <c r="B1037" s="69"/>
      <c r="C1037" s="69"/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</row>
    <row r="1038" ht="15.75" customHeight="1">
      <c r="A1038" s="69"/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</row>
    <row r="1039" ht="15.75" customHeight="1">
      <c r="A1039" s="69"/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</row>
    <row r="1040" ht="15.75" customHeight="1">
      <c r="A1040" s="69"/>
      <c r="B1040" s="69"/>
      <c r="C1040" s="69"/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</row>
    <row r="1041" ht="15.75" customHeight="1">
      <c r="A1041" s="69"/>
      <c r="B1041" s="69"/>
      <c r="C1041" s="69"/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</row>
    <row r="1042" ht="15.75" customHeight="1">
      <c r="A1042" s="69"/>
      <c r="B1042" s="69"/>
      <c r="C1042" s="69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</row>
    <row r="1043" ht="15.75" customHeight="1">
      <c r="A1043" s="69"/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</row>
    <row r="1044" ht="15.75" customHeight="1">
      <c r="A1044" s="69"/>
      <c r="B1044" s="69"/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</row>
    <row r="1045" ht="15.75" customHeight="1">
      <c r="A1045" s="69"/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</row>
    <row r="1046" ht="15.75" customHeight="1">
      <c r="A1046" s="69"/>
      <c r="B1046" s="69"/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</row>
    <row r="1047" ht="15.75" customHeight="1">
      <c r="A1047" s="69"/>
      <c r="B1047" s="69"/>
      <c r="C1047" s="69"/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</row>
    <row r="1048" ht="15.75" customHeight="1">
      <c r="A1048" s="69"/>
      <c r="B1048" s="69"/>
      <c r="C1048" s="69"/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</row>
    <row r="1049" ht="15.75" customHeight="1">
      <c r="A1049" s="69"/>
      <c r="B1049" s="69"/>
      <c r="C1049" s="69"/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</row>
    <row r="1050" ht="15.75" customHeight="1">
      <c r="A1050" s="69"/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</row>
    <row r="1051" ht="15.75" customHeight="1">
      <c r="A1051" s="69"/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</row>
    <row r="1052" ht="15.75" customHeight="1">
      <c r="A1052" s="69"/>
      <c r="B1052" s="69"/>
      <c r="C1052" s="69"/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</row>
    <row r="1053" ht="15.75" customHeight="1">
      <c r="A1053" s="69"/>
      <c r="B1053" s="69"/>
      <c r="C1053" s="69"/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</row>
    <row r="1054" ht="15.75" customHeight="1">
      <c r="A1054" s="69"/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</row>
    <row r="1055" ht="15.75" customHeight="1">
      <c r="A1055" s="69"/>
      <c r="B1055" s="69"/>
      <c r="C1055" s="69"/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</row>
    <row r="1056" ht="15.75" customHeight="1">
      <c r="A1056" s="69"/>
      <c r="B1056" s="69"/>
      <c r="C1056" s="69"/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</row>
    <row r="1057" ht="15.75" customHeight="1">
      <c r="A1057" s="69"/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</row>
    <row r="1058" ht="15.75" customHeight="1">
      <c r="A1058" s="69"/>
      <c r="B1058" s="69"/>
      <c r="C1058" s="69"/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</row>
    <row r="1059" ht="15.75" customHeight="1">
      <c r="A1059" s="69"/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</row>
    <row r="1060" ht="15.75" customHeight="1">
      <c r="A1060" s="69"/>
      <c r="B1060" s="69"/>
      <c r="C1060" s="69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</row>
    <row r="1061" ht="15.75" customHeight="1">
      <c r="A1061" s="69"/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</row>
    <row r="1062" ht="15.75" customHeight="1">
      <c r="A1062" s="69"/>
      <c r="B1062" s="69"/>
      <c r="C1062" s="69"/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</row>
    <row r="1063" ht="15.75" customHeight="1">
      <c r="A1063" s="69"/>
      <c r="B1063" s="69"/>
      <c r="C1063" s="69"/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</row>
    <row r="1064" ht="15.75" customHeight="1">
      <c r="A1064" s="69"/>
      <c r="B1064" s="69"/>
      <c r="C1064" s="69"/>
      <c r="D1064" s="69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  <c r="T1064" s="69"/>
      <c r="U1064" s="69"/>
      <c r="V1064" s="69"/>
      <c r="W1064" s="69"/>
      <c r="X1064" s="69"/>
      <c r="Y1064" s="69"/>
      <c r="Z1064" s="69"/>
    </row>
    <row r="1065" ht="15.75" customHeight="1">
      <c r="A1065" s="69"/>
      <c r="B1065" s="69"/>
      <c r="C1065" s="69"/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  <c r="T1065" s="69"/>
      <c r="U1065" s="69"/>
      <c r="V1065" s="69"/>
      <c r="W1065" s="69"/>
      <c r="X1065" s="69"/>
      <c r="Y1065" s="69"/>
      <c r="Z1065" s="69"/>
    </row>
    <row r="1066" ht="15.75" customHeight="1">
      <c r="A1066" s="69"/>
      <c r="B1066" s="69"/>
      <c r="C1066" s="69"/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</row>
    <row r="1067" ht="15.75" customHeight="1">
      <c r="A1067" s="69"/>
      <c r="B1067" s="69"/>
      <c r="C1067" s="69"/>
      <c r="D1067" s="69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  <c r="T1067" s="69"/>
      <c r="U1067" s="69"/>
      <c r="V1067" s="69"/>
      <c r="W1067" s="69"/>
      <c r="X1067" s="69"/>
      <c r="Y1067" s="69"/>
      <c r="Z1067" s="69"/>
    </row>
    <row r="1068" ht="15.75" customHeight="1">
      <c r="A1068" s="69"/>
      <c r="B1068" s="69"/>
      <c r="C1068" s="69"/>
      <c r="D1068" s="69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U1068" s="69"/>
      <c r="V1068" s="69"/>
      <c r="W1068" s="69"/>
      <c r="X1068" s="69"/>
      <c r="Y1068" s="69"/>
      <c r="Z1068" s="69"/>
    </row>
    <row r="1069" ht="15.75" customHeight="1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  <c r="T1069" s="69"/>
      <c r="U1069" s="69"/>
      <c r="V1069" s="69"/>
      <c r="W1069" s="69"/>
      <c r="X1069" s="69"/>
      <c r="Y1069" s="69"/>
      <c r="Z1069" s="69"/>
    </row>
    <row r="1070" ht="15.75" customHeight="1">
      <c r="A1070" s="69"/>
      <c r="B1070" s="69"/>
      <c r="C1070" s="69"/>
      <c r="D1070" s="69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  <c r="T1070" s="69"/>
      <c r="U1070" s="69"/>
      <c r="V1070" s="69"/>
      <c r="W1070" s="69"/>
      <c r="X1070" s="69"/>
      <c r="Y1070" s="69"/>
      <c r="Z1070" s="69"/>
    </row>
    <row r="1071" ht="15.75" customHeight="1">
      <c r="A1071" s="69"/>
      <c r="B1071" s="69"/>
      <c r="C1071" s="69"/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  <c r="T1071" s="69"/>
      <c r="U1071" s="69"/>
      <c r="V1071" s="69"/>
      <c r="W1071" s="69"/>
      <c r="X1071" s="69"/>
      <c r="Y1071" s="69"/>
      <c r="Z1071" s="69"/>
    </row>
    <row r="1072" ht="15.75" customHeight="1">
      <c r="A1072" s="69"/>
      <c r="B1072" s="69"/>
      <c r="C1072" s="69"/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</row>
    <row r="1073" ht="15.75" customHeight="1">
      <c r="A1073" s="69"/>
      <c r="B1073" s="69"/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  <c r="T1073" s="69"/>
      <c r="U1073" s="69"/>
      <c r="V1073" s="69"/>
      <c r="W1073" s="69"/>
      <c r="X1073" s="69"/>
      <c r="Y1073" s="69"/>
      <c r="Z1073" s="69"/>
    </row>
    <row r="1074" ht="15.75" customHeight="1">
      <c r="A1074" s="69"/>
      <c r="B1074" s="69"/>
      <c r="C1074" s="69"/>
      <c r="D1074" s="69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  <c r="T1074" s="69"/>
      <c r="U1074" s="69"/>
      <c r="V1074" s="69"/>
      <c r="W1074" s="69"/>
      <c r="X1074" s="69"/>
      <c r="Y1074" s="69"/>
      <c r="Z1074" s="69"/>
    </row>
    <row r="1075" ht="15.75" customHeight="1">
      <c r="A1075" s="69"/>
      <c r="B1075" s="69"/>
      <c r="C1075" s="69"/>
      <c r="D1075" s="69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  <c r="T1075" s="69"/>
      <c r="U1075" s="69"/>
      <c r="V1075" s="69"/>
      <c r="W1075" s="69"/>
      <c r="X1075" s="69"/>
      <c r="Y1075" s="69"/>
      <c r="Z1075" s="69"/>
    </row>
    <row r="1076" ht="15.75" customHeight="1">
      <c r="A1076" s="69"/>
      <c r="B1076" s="69"/>
      <c r="C1076" s="69"/>
      <c r="D1076" s="69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69"/>
      <c r="X1076" s="69"/>
      <c r="Y1076" s="69"/>
      <c r="Z1076" s="69"/>
    </row>
    <row r="1077" ht="15.75" customHeight="1">
      <c r="A1077" s="69"/>
      <c r="B1077" s="69"/>
      <c r="C1077" s="69"/>
      <c r="D1077" s="69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  <c r="T1077" s="69"/>
      <c r="U1077" s="69"/>
      <c r="V1077" s="69"/>
      <c r="W1077" s="69"/>
      <c r="X1077" s="69"/>
      <c r="Y1077" s="69"/>
      <c r="Z1077" s="69"/>
    </row>
    <row r="1078" ht="15.75" customHeight="1">
      <c r="A1078" s="69"/>
      <c r="B1078" s="69"/>
      <c r="C1078" s="69"/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</row>
    <row r="1079" ht="15.75" customHeight="1">
      <c r="A1079" s="69"/>
      <c r="B1079" s="69"/>
      <c r="C1079" s="69"/>
      <c r="D1079" s="69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  <c r="T1079" s="69"/>
      <c r="U1079" s="69"/>
      <c r="V1079" s="69"/>
      <c r="W1079" s="69"/>
      <c r="X1079" s="69"/>
      <c r="Y1079" s="69"/>
      <c r="Z1079" s="69"/>
    </row>
  </sheetData>
  <autoFilter ref="$A$2:$Z$214">
    <filterColumn colId="6">
      <filters>
        <filter val="SA 516 GR 70"/>
        <filter val="S690QL"/>
        <filter val="E350"/>
        <filter val="JFE/EH-C400"/>
        <filter val="NM-500"/>
        <filter val="E410BR"/>
        <filter val="C-45"/>
        <filter val="S550MC"/>
        <filter val="RS-450"/>
        <filter val="J2W+N"/>
        <filter val="S460N"/>
        <filter val="E350BR"/>
        <filter val="TUBE"/>
        <filter val="S700MC"/>
        <filter val="ASTM A537 CLASS-11"/>
        <filter val="S600MC"/>
        <filter val="NM-450"/>
        <filter val="E250BR"/>
        <filter val="BEAM"/>
        <filter val="E410C"/>
        <filter val="TUBE - YST310"/>
        <filter val="RS-400"/>
        <filter val="RS-50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22.29"/>
  </cols>
  <sheetData>
    <row r="1" ht="15.0" customHeight="1">
      <c r="A1" s="1"/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5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15" t="s">
        <v>8</v>
      </c>
      <c r="B3" s="17">
        <v>44949.0</v>
      </c>
      <c r="C3" s="18" t="s">
        <v>13</v>
      </c>
      <c r="D3" s="18" t="s">
        <v>15</v>
      </c>
      <c r="E3" s="19">
        <v>1.0</v>
      </c>
      <c r="F3" s="18">
        <v>1787.0</v>
      </c>
      <c r="G3" s="18">
        <v>132.0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24"/>
      <c r="B4" s="17">
        <v>45221.0</v>
      </c>
      <c r="C4" s="18" t="s">
        <v>13</v>
      </c>
      <c r="D4" s="18" t="s">
        <v>28</v>
      </c>
      <c r="E4" s="19">
        <v>1.0</v>
      </c>
      <c r="F4" s="18">
        <v>1276.0</v>
      </c>
      <c r="G4" s="18">
        <v>120.0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24"/>
      <c r="B5" s="17">
        <v>45099.0</v>
      </c>
      <c r="C5" s="18" t="s">
        <v>13</v>
      </c>
      <c r="D5" s="18" t="s">
        <v>33</v>
      </c>
      <c r="E5" s="19">
        <v>1.0</v>
      </c>
      <c r="F5" s="18">
        <v>770.0</v>
      </c>
      <c r="G5" s="18">
        <v>111.0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32"/>
      <c r="B6" s="17">
        <v>45038.0</v>
      </c>
      <c r="C6" s="18" t="s">
        <v>13</v>
      </c>
      <c r="D6" s="18" t="s">
        <v>37</v>
      </c>
      <c r="E6" s="19">
        <v>1.0</v>
      </c>
      <c r="F6" s="18">
        <v>3840.0</v>
      </c>
      <c r="G6" s="18">
        <v>111.0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5"/>
      <c r="B7" s="18"/>
      <c r="C7" s="18"/>
      <c r="D7" s="18"/>
      <c r="E7" s="37"/>
      <c r="F7" s="7">
        <f>SUM(F3:F6)</f>
        <v>7673</v>
      </c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0" customHeight="1">
      <c r="A8" s="1"/>
      <c r="B8" s="1"/>
      <c r="C8" s="1"/>
      <c r="D8" s="1"/>
      <c r="E8" s="4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0" customHeight="1">
      <c r="A9" s="5"/>
      <c r="B9" s="7" t="s">
        <v>1</v>
      </c>
      <c r="C9" s="7" t="s">
        <v>2</v>
      </c>
      <c r="D9" s="7" t="s">
        <v>3</v>
      </c>
      <c r="E9" s="47" t="s">
        <v>4</v>
      </c>
      <c r="F9" s="7" t="s">
        <v>5</v>
      </c>
      <c r="G9" s="7" t="s">
        <v>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0" customHeight="1">
      <c r="A10" s="15" t="s">
        <v>41</v>
      </c>
      <c r="B10" s="17">
        <v>45039.0</v>
      </c>
      <c r="C10" s="18" t="s">
        <v>13</v>
      </c>
      <c r="D10" s="18" t="s">
        <v>43</v>
      </c>
      <c r="E10" s="19">
        <v>6.0</v>
      </c>
      <c r="F10" s="19">
        <v>14571.0</v>
      </c>
      <c r="G10" s="18">
        <v>128.0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0" customHeight="1">
      <c r="A11" s="24"/>
      <c r="B11" s="17"/>
      <c r="C11" s="18" t="s">
        <v>13</v>
      </c>
      <c r="D11" s="18" t="s">
        <v>28</v>
      </c>
      <c r="E11" s="19">
        <v>9.0</v>
      </c>
      <c r="F11" s="19">
        <v>11015.0</v>
      </c>
      <c r="G11" s="18">
        <v>119.0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0" customHeight="1">
      <c r="A12" s="24"/>
      <c r="B12" s="17">
        <v>45039.0</v>
      </c>
      <c r="C12" s="18" t="s">
        <v>13</v>
      </c>
      <c r="D12" s="18" t="s">
        <v>47</v>
      </c>
      <c r="E12" s="19">
        <v>7.0</v>
      </c>
      <c r="F12" s="19">
        <v>12678.0</v>
      </c>
      <c r="G12" s="18">
        <v>128.0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0" customHeight="1">
      <c r="A13" s="24"/>
      <c r="B13" s="17">
        <v>45039.0</v>
      </c>
      <c r="C13" s="18" t="s">
        <v>13</v>
      </c>
      <c r="D13" s="18" t="s">
        <v>48</v>
      </c>
      <c r="E13" s="19">
        <v>2.0</v>
      </c>
      <c r="F13" s="19">
        <v>4373.0</v>
      </c>
      <c r="G13" s="18">
        <v>128.0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0" customHeight="1">
      <c r="A14" s="24"/>
      <c r="B14" s="17"/>
      <c r="C14" s="18" t="s">
        <v>13</v>
      </c>
      <c r="D14" s="18" t="s">
        <v>50</v>
      </c>
      <c r="E14" s="19">
        <v>1.0</v>
      </c>
      <c r="F14" s="19">
        <v>1920.0</v>
      </c>
      <c r="G14" s="18">
        <v>112.0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0" customHeight="1">
      <c r="A15" s="24"/>
      <c r="B15" s="17"/>
      <c r="C15" s="18" t="s">
        <v>13</v>
      </c>
      <c r="D15" s="18" t="s">
        <v>52</v>
      </c>
      <c r="E15" s="19">
        <v>8.0</v>
      </c>
      <c r="F15" s="19">
        <v>19398.0</v>
      </c>
      <c r="G15" s="18">
        <v>128.0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0" customHeight="1">
      <c r="A16" s="24"/>
      <c r="B16" s="58"/>
      <c r="C16" s="18" t="s">
        <v>13</v>
      </c>
      <c r="D16" s="19" t="s">
        <v>53</v>
      </c>
      <c r="E16" s="19">
        <v>5.0</v>
      </c>
      <c r="F16" s="19">
        <v>7252.0</v>
      </c>
      <c r="G16" s="19">
        <v>112.0</v>
      </c>
      <c r="H16" s="5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0" customHeight="1">
      <c r="A17" s="24"/>
      <c r="B17" s="58">
        <v>45161.0</v>
      </c>
      <c r="C17" s="19" t="s">
        <v>13</v>
      </c>
      <c r="D17" s="19" t="s">
        <v>54</v>
      </c>
      <c r="E17" s="19">
        <v>5.0</v>
      </c>
      <c r="F17" s="19">
        <v>5760.0</v>
      </c>
      <c r="G17" s="19">
        <v>112.0</v>
      </c>
      <c r="H17" s="5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0" customHeight="1">
      <c r="A18" s="24"/>
      <c r="B18" s="17">
        <v>45161.0</v>
      </c>
      <c r="C18" s="18" t="s">
        <v>13</v>
      </c>
      <c r="D18" s="18" t="s">
        <v>57</v>
      </c>
      <c r="E18" s="19">
        <v>14.0</v>
      </c>
      <c r="F18" s="19">
        <v>42000.0</v>
      </c>
      <c r="G18" s="18">
        <v>112.0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0" customHeight="1">
      <c r="A19" s="24"/>
      <c r="B19" s="17"/>
      <c r="C19" s="18" t="s">
        <v>13</v>
      </c>
      <c r="D19" s="18" t="s">
        <v>58</v>
      </c>
      <c r="E19" s="19">
        <v>7.0</v>
      </c>
      <c r="F19" s="19">
        <v>20160.0</v>
      </c>
      <c r="G19" s="18">
        <v>117.0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0" customHeight="1">
      <c r="A20" s="24"/>
      <c r="B20" s="17"/>
      <c r="C20" s="18" t="s">
        <v>13</v>
      </c>
      <c r="D20" s="18" t="s">
        <v>62</v>
      </c>
      <c r="E20" s="19">
        <v>4.0</v>
      </c>
      <c r="F20" s="19">
        <v>12288.0</v>
      </c>
      <c r="G20" s="18">
        <v>117.0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4"/>
      <c r="B21" s="17">
        <v>45039.0</v>
      </c>
      <c r="C21" s="18" t="s">
        <v>13</v>
      </c>
      <c r="D21" s="18" t="s">
        <v>63</v>
      </c>
      <c r="E21" s="19">
        <v>3.0</v>
      </c>
      <c r="F21" s="19">
        <v>13715.0</v>
      </c>
      <c r="G21" s="18">
        <v>128.0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4"/>
      <c r="B22" s="17">
        <v>45192.0</v>
      </c>
      <c r="C22" s="18" t="s">
        <v>13</v>
      </c>
      <c r="D22" s="18" t="s">
        <v>37</v>
      </c>
      <c r="E22" s="19">
        <v>5.0</v>
      </c>
      <c r="F22" s="19">
        <v>19328.0</v>
      </c>
      <c r="G22" s="18">
        <v>117.0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4"/>
      <c r="B23" s="17">
        <v>45039.0</v>
      </c>
      <c r="C23" s="18" t="s">
        <v>13</v>
      </c>
      <c r="D23" s="18" t="s">
        <v>64</v>
      </c>
      <c r="E23" s="19">
        <v>3.0</v>
      </c>
      <c r="F23" s="19">
        <v>14388.0</v>
      </c>
      <c r="G23" s="18">
        <v>128.0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4"/>
      <c r="B24" s="17">
        <v>45192.0</v>
      </c>
      <c r="C24" s="18" t="s">
        <v>13</v>
      </c>
      <c r="D24" s="18" t="s">
        <v>65</v>
      </c>
      <c r="E24" s="19">
        <v>5.5</v>
      </c>
      <c r="F24" s="19">
        <v>26400.0</v>
      </c>
      <c r="G24" s="18">
        <v>117.0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32"/>
      <c r="B25" s="17">
        <v>45039.0</v>
      </c>
      <c r="C25" s="18" t="s">
        <v>13</v>
      </c>
      <c r="D25" s="18" t="s">
        <v>66</v>
      </c>
      <c r="E25" s="19">
        <v>1.0</v>
      </c>
      <c r="F25" s="19">
        <v>8410.0</v>
      </c>
      <c r="G25" s="18">
        <v>128.0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5"/>
      <c r="B26" s="17">
        <v>45161.0</v>
      </c>
      <c r="C26" s="18" t="s">
        <v>13</v>
      </c>
      <c r="D26" s="18" t="s">
        <v>50</v>
      </c>
      <c r="E26" s="19">
        <v>3.0</v>
      </c>
      <c r="F26" s="19">
        <v>5760.0</v>
      </c>
      <c r="G26" s="18">
        <v>112.0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5"/>
      <c r="B27" s="17">
        <v>45161.0</v>
      </c>
      <c r="C27" s="18" t="s">
        <v>13</v>
      </c>
      <c r="D27" s="18" t="s">
        <v>67</v>
      </c>
      <c r="E27" s="19">
        <v>3.0</v>
      </c>
      <c r="F27" s="19">
        <v>4600.0</v>
      </c>
      <c r="G27" s="18">
        <v>112.0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5"/>
      <c r="B28" s="17">
        <v>45192.0</v>
      </c>
      <c r="C28" s="18" t="s">
        <v>13</v>
      </c>
      <c r="D28" s="18" t="s">
        <v>68</v>
      </c>
      <c r="E28" s="19">
        <v>1.0</v>
      </c>
      <c r="F28" s="19">
        <v>0.96</v>
      </c>
      <c r="G28" s="18">
        <v>112.0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5"/>
      <c r="B29" s="17">
        <v>45192.0</v>
      </c>
      <c r="C29" s="18" t="s">
        <v>13</v>
      </c>
      <c r="D29" s="18" t="s">
        <v>70</v>
      </c>
      <c r="E29" s="37">
        <v>2.0</v>
      </c>
      <c r="F29" s="18">
        <v>4800.0</v>
      </c>
      <c r="G29" s="18">
        <v>112.0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5"/>
      <c r="B30" s="17">
        <v>45192.0</v>
      </c>
      <c r="C30" s="18" t="s">
        <v>13</v>
      </c>
      <c r="D30" s="18" t="s">
        <v>50</v>
      </c>
      <c r="E30" s="37">
        <v>1.0</v>
      </c>
      <c r="F30" s="18">
        <v>1920.0</v>
      </c>
      <c r="G30" s="18">
        <v>112.0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5"/>
      <c r="B31" s="17">
        <v>45192.0</v>
      </c>
      <c r="C31" s="18" t="s">
        <v>13</v>
      </c>
      <c r="D31" s="18" t="s">
        <v>54</v>
      </c>
      <c r="E31" s="37">
        <v>3.0</v>
      </c>
      <c r="F31" s="18">
        <v>3456.0</v>
      </c>
      <c r="G31" s="1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5"/>
      <c r="B32" s="17">
        <v>45192.0</v>
      </c>
      <c r="C32" s="18" t="s">
        <v>13</v>
      </c>
      <c r="D32" s="18" t="s">
        <v>50</v>
      </c>
      <c r="E32" s="37">
        <v>2.0</v>
      </c>
      <c r="F32" s="18">
        <v>3840.0</v>
      </c>
      <c r="G32" s="1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5"/>
      <c r="B33" s="17"/>
      <c r="C33" s="18"/>
      <c r="D33" s="18"/>
      <c r="E33" s="37"/>
      <c r="F33" s="18"/>
      <c r="G33" s="1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5"/>
      <c r="B34" s="18"/>
      <c r="C34" s="18"/>
      <c r="D34" s="18"/>
      <c r="E34" s="37"/>
      <c r="F34" s="7"/>
      <c r="G34" s="1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5"/>
      <c r="B35" s="18"/>
      <c r="C35" s="18"/>
      <c r="D35" s="18"/>
      <c r="E35" s="37"/>
      <c r="F35" s="7">
        <f>SUM(F10:F34)</f>
        <v>258032.96</v>
      </c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5"/>
      <c r="B37" s="7" t="s">
        <v>1</v>
      </c>
      <c r="C37" s="7" t="s">
        <v>2</v>
      </c>
      <c r="D37" s="7" t="s">
        <v>3</v>
      </c>
      <c r="E37" s="47" t="s">
        <v>4</v>
      </c>
      <c r="F37" s="7" t="s">
        <v>5</v>
      </c>
      <c r="G37" s="7" t="s">
        <v>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5" t="s">
        <v>77</v>
      </c>
      <c r="B38" s="17">
        <v>45220.0</v>
      </c>
      <c r="C38" s="18" t="s">
        <v>78</v>
      </c>
      <c r="D38" s="18" t="s">
        <v>79</v>
      </c>
      <c r="E38" s="19">
        <v>1.0</v>
      </c>
      <c r="F38" s="18">
        <v>2626.0</v>
      </c>
      <c r="G38" s="18">
        <v>91.0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24"/>
      <c r="B39" s="17">
        <v>45038.0</v>
      </c>
      <c r="C39" s="18" t="s">
        <v>78</v>
      </c>
      <c r="D39" s="18" t="s">
        <v>80</v>
      </c>
      <c r="E39" s="19">
        <v>4.0</v>
      </c>
      <c r="F39" s="18">
        <v>12902.0</v>
      </c>
      <c r="G39" s="18">
        <v>111.0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5"/>
      <c r="B40" s="18"/>
      <c r="C40" s="18"/>
      <c r="D40" s="18"/>
      <c r="E40" s="37"/>
      <c r="F40" s="7">
        <f>SUM(F38:F39)</f>
        <v>15528</v>
      </c>
      <c r="G40" s="1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5"/>
      <c r="B42" s="7" t="s">
        <v>1</v>
      </c>
      <c r="C42" s="7" t="s">
        <v>2</v>
      </c>
      <c r="D42" s="7" t="s">
        <v>3</v>
      </c>
      <c r="E42" s="47" t="s">
        <v>4</v>
      </c>
      <c r="F42" s="7" t="s">
        <v>5</v>
      </c>
      <c r="G42" s="7" t="s">
        <v>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5" t="s">
        <v>81</v>
      </c>
      <c r="B43" s="17">
        <v>45100.0</v>
      </c>
      <c r="C43" s="18" t="s">
        <v>78</v>
      </c>
      <c r="D43" s="18" t="s">
        <v>54</v>
      </c>
      <c r="E43" s="19">
        <v>8.0</v>
      </c>
      <c r="F43" s="18">
        <v>9216.0</v>
      </c>
      <c r="G43" s="64">
        <v>116.0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24"/>
      <c r="B44" s="17">
        <v>45039.0</v>
      </c>
      <c r="C44" s="18" t="s">
        <v>78</v>
      </c>
      <c r="D44" s="18" t="s">
        <v>83</v>
      </c>
      <c r="E44" s="19">
        <v>1.0</v>
      </c>
      <c r="F44" s="18">
        <v>1447.0</v>
      </c>
      <c r="G44" s="64">
        <v>128.0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24"/>
      <c r="B45" s="17">
        <v>45100.0</v>
      </c>
      <c r="C45" s="18" t="s">
        <v>78</v>
      </c>
      <c r="D45" s="18" t="s">
        <v>67</v>
      </c>
      <c r="E45" s="64">
        <v>15.0</v>
      </c>
      <c r="F45" s="18">
        <v>23040.0</v>
      </c>
      <c r="G45" s="64">
        <v>116.0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24"/>
      <c r="B46" s="17">
        <v>45039.0</v>
      </c>
      <c r="C46" s="18" t="s">
        <v>78</v>
      </c>
      <c r="D46" s="18" t="s">
        <v>87</v>
      </c>
      <c r="E46" s="19">
        <v>6.0</v>
      </c>
      <c r="F46" s="18">
        <v>9756.0</v>
      </c>
      <c r="G46" s="64">
        <v>128.0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24"/>
      <c r="B47" s="17">
        <v>45100.0</v>
      </c>
      <c r="C47" s="18" t="s">
        <v>78</v>
      </c>
      <c r="D47" s="18" t="s">
        <v>50</v>
      </c>
      <c r="E47" s="19">
        <v>4.0</v>
      </c>
      <c r="F47" s="18">
        <v>7750.0</v>
      </c>
      <c r="G47" s="64">
        <v>116.0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32"/>
      <c r="B48" s="17">
        <v>45100.0</v>
      </c>
      <c r="C48" s="18" t="s">
        <v>78</v>
      </c>
      <c r="D48" s="18" t="s">
        <v>70</v>
      </c>
      <c r="E48" s="19">
        <v>3.0</v>
      </c>
      <c r="F48" s="18">
        <v>7200.0</v>
      </c>
      <c r="G48" s="64">
        <v>116.0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5"/>
      <c r="B49" s="17">
        <v>45161.0</v>
      </c>
      <c r="C49" s="18" t="s">
        <v>78</v>
      </c>
      <c r="D49" s="18" t="s">
        <v>58</v>
      </c>
      <c r="E49" s="19">
        <v>3.0</v>
      </c>
      <c r="F49" s="19">
        <v>8640.0</v>
      </c>
      <c r="G49" s="64">
        <v>112.0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5"/>
      <c r="B50" s="17">
        <v>45161.0</v>
      </c>
      <c r="C50" s="18" t="s">
        <v>78</v>
      </c>
      <c r="D50" s="18" t="s">
        <v>28</v>
      </c>
      <c r="E50" s="19">
        <v>15.0</v>
      </c>
      <c r="F50" s="19">
        <v>18000.0</v>
      </c>
      <c r="G50" s="64">
        <v>106.0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5"/>
      <c r="B51" s="17">
        <v>45161.0</v>
      </c>
      <c r="C51" s="18" t="s">
        <v>78</v>
      </c>
      <c r="D51" s="18" t="s">
        <v>54</v>
      </c>
      <c r="E51" s="19">
        <v>12.0</v>
      </c>
      <c r="F51" s="19">
        <v>13824.0</v>
      </c>
      <c r="G51" s="64">
        <v>106.0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5"/>
      <c r="B52" s="17">
        <v>45161.0</v>
      </c>
      <c r="C52" s="18" t="s">
        <v>78</v>
      </c>
      <c r="D52" s="18" t="s">
        <v>68</v>
      </c>
      <c r="E52" s="19">
        <v>13.0</v>
      </c>
      <c r="F52" s="19">
        <v>12480.0</v>
      </c>
      <c r="G52" s="64">
        <v>106.0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5"/>
      <c r="B53" s="17">
        <v>45161.0</v>
      </c>
      <c r="C53" s="18" t="s">
        <v>78</v>
      </c>
      <c r="D53" s="18" t="s">
        <v>28</v>
      </c>
      <c r="E53" s="19">
        <v>3.0</v>
      </c>
      <c r="F53" s="19">
        <v>3600.0</v>
      </c>
      <c r="G53" s="64">
        <v>106.0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5"/>
      <c r="B54" s="17">
        <v>45161.0</v>
      </c>
      <c r="C54" s="18" t="s">
        <v>78</v>
      </c>
      <c r="D54" s="18" t="s">
        <v>37</v>
      </c>
      <c r="E54" s="37">
        <v>6.0</v>
      </c>
      <c r="F54" s="37">
        <v>23040.0</v>
      </c>
      <c r="G54" s="64">
        <v>112.0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5"/>
      <c r="B55" s="17">
        <v>45161.0</v>
      </c>
      <c r="C55" s="18" t="s">
        <v>78</v>
      </c>
      <c r="D55" s="18" t="s">
        <v>96</v>
      </c>
      <c r="E55" s="37">
        <v>10.0</v>
      </c>
      <c r="F55" s="18">
        <v>43510.0</v>
      </c>
      <c r="G55" s="64">
        <v>112.0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5"/>
      <c r="B56" s="17">
        <v>45161.0</v>
      </c>
      <c r="C56" s="18" t="s">
        <v>78</v>
      </c>
      <c r="D56" s="18" t="s">
        <v>65</v>
      </c>
      <c r="E56" s="37">
        <v>2.0</v>
      </c>
      <c r="F56" s="18">
        <v>9600.0</v>
      </c>
      <c r="G56" s="64">
        <v>112.0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5"/>
      <c r="B57" s="17">
        <v>45161.0</v>
      </c>
      <c r="C57" s="18" t="s">
        <v>78</v>
      </c>
      <c r="D57" s="18" t="s">
        <v>50</v>
      </c>
      <c r="E57" s="37">
        <v>1.0</v>
      </c>
      <c r="F57" s="18">
        <v>1925.0</v>
      </c>
      <c r="G57" s="64">
        <v>106.0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5"/>
      <c r="B58" s="17">
        <v>45161.0</v>
      </c>
      <c r="C58" s="18" t="s">
        <v>78</v>
      </c>
      <c r="D58" s="18" t="s">
        <v>98</v>
      </c>
      <c r="E58" s="37">
        <v>1.0</v>
      </c>
      <c r="F58" s="18">
        <v>3470.0</v>
      </c>
      <c r="G58" s="64">
        <v>112.0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5"/>
      <c r="B59" s="17">
        <v>45161.0</v>
      </c>
      <c r="C59" s="18" t="s">
        <v>78</v>
      </c>
      <c r="D59" s="18" t="s">
        <v>98</v>
      </c>
      <c r="E59" s="19">
        <v>3.0</v>
      </c>
      <c r="F59" s="19">
        <v>10368.0</v>
      </c>
      <c r="G59" s="64">
        <v>112.0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5"/>
      <c r="B60" s="17">
        <v>45192.0</v>
      </c>
      <c r="C60" s="18" t="s">
        <v>78</v>
      </c>
      <c r="D60" s="18" t="s">
        <v>100</v>
      </c>
      <c r="E60" s="19">
        <v>4.0</v>
      </c>
      <c r="F60" s="19">
        <v>3840.0</v>
      </c>
      <c r="G60" s="64">
        <v>108.0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5"/>
      <c r="B61" s="17">
        <v>45192.0</v>
      </c>
      <c r="C61" s="18" t="s">
        <v>78</v>
      </c>
      <c r="D61" s="18" t="s">
        <v>54</v>
      </c>
      <c r="E61" s="19">
        <v>2.0</v>
      </c>
      <c r="F61" s="19">
        <v>2304.0</v>
      </c>
      <c r="G61" s="64">
        <v>106.0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5"/>
      <c r="B62" s="17">
        <v>45192.0</v>
      </c>
      <c r="C62" s="18" t="s">
        <v>78</v>
      </c>
      <c r="D62" s="18" t="s">
        <v>70</v>
      </c>
      <c r="E62" s="19">
        <v>6.0</v>
      </c>
      <c r="F62" s="19">
        <v>14400.0</v>
      </c>
      <c r="G62" s="64">
        <v>112.0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5"/>
      <c r="B63" s="17">
        <v>45192.0</v>
      </c>
      <c r="C63" s="18" t="s">
        <v>78</v>
      </c>
      <c r="D63" s="18" t="s">
        <v>37</v>
      </c>
      <c r="E63" s="19">
        <v>2.0</v>
      </c>
      <c r="F63" s="19">
        <v>7680.0</v>
      </c>
      <c r="G63" s="64">
        <v>112.0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5"/>
      <c r="B64" s="17"/>
      <c r="C64" s="18"/>
      <c r="D64" s="18"/>
      <c r="E64" s="37"/>
      <c r="F64" s="18"/>
      <c r="G64" s="1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5"/>
      <c r="B65" s="18"/>
      <c r="C65" s="18"/>
      <c r="D65" s="18"/>
      <c r="E65" s="37"/>
      <c r="F65" s="7">
        <f>SUM(F43:F63)</f>
        <v>235090</v>
      </c>
      <c r="G65" s="1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4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5"/>
      <c r="B67" s="7" t="s">
        <v>1</v>
      </c>
      <c r="C67" s="7" t="s">
        <v>2</v>
      </c>
      <c r="D67" s="7" t="s">
        <v>3</v>
      </c>
      <c r="E67" s="47" t="s">
        <v>4</v>
      </c>
      <c r="F67" s="7" t="s">
        <v>5</v>
      </c>
      <c r="G67" s="7" t="s">
        <v>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5" t="s">
        <v>102</v>
      </c>
      <c r="B68" s="17">
        <v>45129.0</v>
      </c>
      <c r="C68" s="18" t="s">
        <v>103</v>
      </c>
      <c r="D68" s="18" t="s">
        <v>67</v>
      </c>
      <c r="E68" s="19">
        <v>6.0</v>
      </c>
      <c r="F68" s="18">
        <v>9430.0</v>
      </c>
      <c r="G68" s="18">
        <v>111.0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24"/>
      <c r="B69" s="17">
        <v>44949.0</v>
      </c>
      <c r="C69" s="18" t="s">
        <v>103</v>
      </c>
      <c r="D69" s="18" t="s">
        <v>70</v>
      </c>
      <c r="E69" s="19">
        <v>1.0</v>
      </c>
      <c r="F69" s="18">
        <v>2360.0</v>
      </c>
      <c r="G69" s="18">
        <v>111.0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32"/>
      <c r="B70" s="17">
        <v>45129.0</v>
      </c>
      <c r="C70" s="18" t="s">
        <v>103</v>
      </c>
      <c r="D70" s="18" t="s">
        <v>37</v>
      </c>
      <c r="E70" s="19">
        <v>1.0</v>
      </c>
      <c r="F70" s="18">
        <v>3850.0</v>
      </c>
      <c r="G70" s="18">
        <v>111.0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5"/>
      <c r="B71" s="18"/>
      <c r="C71" s="18"/>
      <c r="D71" s="18"/>
      <c r="E71" s="37"/>
      <c r="F71" s="7">
        <f>SUM(F68:F70)</f>
        <v>15640</v>
      </c>
      <c r="G71" s="1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4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5"/>
      <c r="B73" s="7" t="s">
        <v>1</v>
      </c>
      <c r="C73" s="7" t="s">
        <v>2</v>
      </c>
      <c r="D73" s="7" t="s">
        <v>3</v>
      </c>
      <c r="E73" s="47" t="s">
        <v>4</v>
      </c>
      <c r="F73" s="7" t="s">
        <v>5</v>
      </c>
      <c r="G73" s="7" t="s">
        <v>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5" t="s">
        <v>104</v>
      </c>
      <c r="B74" s="17">
        <v>45100.0</v>
      </c>
      <c r="C74" s="18" t="s">
        <v>103</v>
      </c>
      <c r="D74" s="18" t="s">
        <v>68</v>
      </c>
      <c r="E74" s="19">
        <v>2.0</v>
      </c>
      <c r="F74" s="18">
        <v>1920.0</v>
      </c>
      <c r="G74" s="18">
        <v>128.0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24"/>
      <c r="B75" s="17"/>
      <c r="C75" s="18" t="s">
        <v>103</v>
      </c>
      <c r="D75" s="18" t="s">
        <v>43</v>
      </c>
      <c r="E75" s="19">
        <v>6.0</v>
      </c>
      <c r="F75" s="18">
        <v>14400.0</v>
      </c>
      <c r="G75" s="18">
        <v>128.0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24"/>
      <c r="B76" s="17"/>
      <c r="C76" s="18" t="s">
        <v>103</v>
      </c>
      <c r="D76" s="18" t="s">
        <v>106</v>
      </c>
      <c r="E76" s="19">
        <v>6.0</v>
      </c>
      <c r="F76" s="18">
        <v>13824.0</v>
      </c>
      <c r="G76" s="18">
        <v>128.0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24"/>
      <c r="B77" s="17">
        <v>45100.0</v>
      </c>
      <c r="C77" s="19" t="s">
        <v>103</v>
      </c>
      <c r="D77" s="19" t="s">
        <v>67</v>
      </c>
      <c r="E77" s="19">
        <v>6.0</v>
      </c>
      <c r="F77" s="19">
        <v>9216.0</v>
      </c>
      <c r="G77" s="19">
        <v>128.0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24"/>
      <c r="B78" s="17">
        <v>45100.0</v>
      </c>
      <c r="C78" s="19" t="s">
        <v>103</v>
      </c>
      <c r="D78" s="19" t="s">
        <v>50</v>
      </c>
      <c r="E78" s="19">
        <v>9.0</v>
      </c>
      <c r="F78" s="19">
        <v>17280.0</v>
      </c>
      <c r="G78" s="19">
        <v>128.0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32"/>
      <c r="B79" s="17">
        <v>45039.0</v>
      </c>
      <c r="C79" s="19" t="s">
        <v>103</v>
      </c>
      <c r="D79" s="19" t="s">
        <v>70</v>
      </c>
      <c r="E79" s="19">
        <v>1.0</v>
      </c>
      <c r="F79" s="19">
        <v>2423.0</v>
      </c>
      <c r="G79" s="19">
        <v>128.0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5"/>
      <c r="B80" s="17">
        <v>45161.0</v>
      </c>
      <c r="C80" s="19" t="s">
        <v>103</v>
      </c>
      <c r="D80" s="19" t="s">
        <v>50</v>
      </c>
      <c r="E80" s="19">
        <v>1.0</v>
      </c>
      <c r="F80" s="19">
        <v>1936.0</v>
      </c>
      <c r="G80" s="19">
        <v>128.0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5"/>
      <c r="B81" s="17">
        <v>45161.0</v>
      </c>
      <c r="C81" s="19" t="s">
        <v>103</v>
      </c>
      <c r="D81" s="19" t="s">
        <v>67</v>
      </c>
      <c r="E81" s="19">
        <v>1.0</v>
      </c>
      <c r="F81" s="19">
        <v>1561.0</v>
      </c>
      <c r="G81" s="19">
        <v>128.0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5"/>
      <c r="B82" s="17">
        <v>45161.0</v>
      </c>
      <c r="C82" s="19" t="s">
        <v>103</v>
      </c>
      <c r="D82" s="19" t="s">
        <v>68</v>
      </c>
      <c r="E82" s="19">
        <v>1.0</v>
      </c>
      <c r="F82" s="19">
        <v>983.5</v>
      </c>
      <c r="G82" s="19">
        <v>128.0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5"/>
      <c r="B83" s="17">
        <v>45161.0</v>
      </c>
      <c r="C83" s="19" t="s">
        <v>103</v>
      </c>
      <c r="D83" s="19" t="s">
        <v>37</v>
      </c>
      <c r="E83" s="19">
        <v>3.0</v>
      </c>
      <c r="F83" s="19">
        <v>11618.0</v>
      </c>
      <c r="G83" s="19">
        <v>128.0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5"/>
      <c r="B84" s="17">
        <v>45192.0</v>
      </c>
      <c r="C84" s="19" t="s">
        <v>103</v>
      </c>
      <c r="D84" s="19" t="s">
        <v>67</v>
      </c>
      <c r="E84" s="19">
        <v>1.0</v>
      </c>
      <c r="F84" s="19">
        <v>1561.0</v>
      </c>
      <c r="G84" s="19">
        <v>128.0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5"/>
      <c r="B85" s="18"/>
      <c r="C85" s="18"/>
      <c r="D85" s="18"/>
      <c r="E85" s="37"/>
      <c r="F85" s="7">
        <f>SUM(F74:F84)</f>
        <v>76722.5</v>
      </c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4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4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5"/>
      <c r="B88" s="7" t="s">
        <v>1</v>
      </c>
      <c r="C88" s="7" t="s">
        <v>2</v>
      </c>
      <c r="D88" s="7" t="s">
        <v>3</v>
      </c>
      <c r="E88" s="47" t="s">
        <v>4</v>
      </c>
      <c r="F88" s="7" t="s">
        <v>5</v>
      </c>
      <c r="G88" s="7" t="s">
        <v>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5" t="s">
        <v>118</v>
      </c>
      <c r="B89" s="17">
        <v>45282.0</v>
      </c>
      <c r="C89" s="18" t="s">
        <v>119</v>
      </c>
      <c r="D89" s="18" t="s">
        <v>67</v>
      </c>
      <c r="E89" s="19">
        <v>7.0</v>
      </c>
      <c r="F89" s="18">
        <v>10407.0</v>
      </c>
      <c r="G89" s="18">
        <v>128.0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8"/>
      <c r="B90" s="18"/>
      <c r="C90" s="18"/>
      <c r="D90" s="18"/>
      <c r="E90" s="37"/>
      <c r="F90" s="7">
        <f>SUM(F89)</f>
        <v>10407</v>
      </c>
      <c r="G90" s="1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4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4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4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4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4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4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6"/>
    <mergeCell ref="A10:A25"/>
    <mergeCell ref="A38:A39"/>
    <mergeCell ref="A43:A48"/>
    <mergeCell ref="A68:A70"/>
    <mergeCell ref="A74:A79"/>
  </mergeCells>
  <printOptions/>
  <pageMargins bottom="0.75" footer="0.0" header="0.0" left="0.7" right="0.7" top="0.75"/>
  <pageSetup paperSize="5" orientation="portrait"/>
  <drawing r:id="rId1"/>
</worksheet>
</file>